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771D8238842734FDBC7526690CCCEB69909514F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ez-moi" sheetId="1" r:id="rId1"/>
    <sheet name="Qui paie" sheetId="2" r:id="rId2"/>
    <sheet name="Frise" sheetId="3" r:id="rId3"/>
    <sheet name="Votre projet" sheetId="4" r:id="rId4"/>
    <sheet name="Listes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D21" i="4"/>
  <c r="D19" i="4"/>
  <c r="C19" i="4"/>
  <c r="C29" i="4" s="1"/>
  <c r="D17" i="4"/>
  <c r="D11" i="4"/>
  <c r="C17" i="3"/>
  <c r="C13" i="3"/>
  <c r="L11" i="3"/>
  <c r="K11" i="3"/>
  <c r="L10" i="3"/>
  <c r="K10" i="3"/>
  <c r="L9" i="3"/>
  <c r="K9" i="3"/>
  <c r="L8" i="3"/>
  <c r="K8" i="3"/>
  <c r="L7" i="3"/>
  <c r="K7" i="3"/>
  <c r="L6" i="3"/>
  <c r="C18" i="3" s="1"/>
  <c r="K6" i="3"/>
  <c r="C15" i="3" s="1"/>
  <c r="C31" i="2"/>
  <c r="C24" i="2"/>
  <c r="D24" i="2" s="1"/>
  <c r="C23" i="2"/>
  <c r="C16" i="3" l="1"/>
  <c r="C14" i="3"/>
</calcChain>
</file>

<file path=xl/sharedStrings.xml><?xml version="1.0" encoding="utf-8"?>
<sst xmlns="http://schemas.openxmlformats.org/spreadsheetml/2006/main" count="158" uniqueCount="154">
  <si>
    <t>TP M3-3 — Accès au marché : qui paie ? De la preuve de concept au remboursement</t>
  </si>
  <si>
    <t>Module 3 — vendredi 16 octobre 2026 — 14:40-16:50, en équipe, à distance.</t>
  </si>
  <si>
    <t>Les onglets</t>
  </si>
  <si>
    <t>• « Qui paie » (partie 1, 14:40-15:15) : bénéficie / décide / paie, puis les cinq portes d'entrée et la voie retenue.</t>
  </si>
  <si>
    <t>• « Frise » (partie 2, 15:30-16:30) : placez les 6 jalons (mois de début et de fin). La barre se dessine toute seule.</t>
  </si>
  <si>
    <t>• « Votre projet » (partie 3, 16:30-16:50) : la fiche d'une page « votre projet passé au crible ».</t>
  </si>
  <si>
    <t>Couleurs des cellules</t>
  </si>
  <si>
    <t>• police bleue sur fond bleu pâle = à remplir (souvent avec une liste déroulante) ;</t>
  </si>
  <si>
    <t>• fond gris = donné, ne pas modifier ;</t>
  </si>
  <si>
    <t>• fond blanc, police noire = formule, ne pas écraser ;</t>
  </si>
  <si>
    <t>• fond jaune = résultat ou message automatique.</t>
  </si>
  <si>
    <t>Attention</t>
  </si>
  <si>
    <t>• Les durées de l'onglet Frise sont des ORDRES DE GRANDEUR génériques, à vérifier : ce ne sont les chiffres d'aucune entreprise réelle. Les coûts sont donnés en poids relatif (€ à €€€) : chiffrez avec de vrais devis.</t>
  </si>
  <si>
    <t>• Faits réglementaires : voir l'énoncé TP_M3_3_Acces_marche.md. Dates à vérifier à date (la réglementation bouge).</t>
  </si>
  <si>
    <t>• Aucune donnée personnelle dans ce classeur.</t>
  </si>
  <si>
    <t>Dépôt : enregistrez sous acces_marche_eqNN.xlsx (NN = numéro d'équipe) dans analyses/m3/ du repo de l'équipe.</t>
  </si>
  <si>
    <t>Partie 1 — Qui paie ? Cartographie des voies d'accès au marché (14:40-15:15)</t>
  </si>
  <si>
    <t>Remplissez les cellules bleues. Une phrase courte par case. Exemple complet du cas B : voir l'énoncé (étape 2).</t>
  </si>
  <si>
    <t>Cas d'usage (A à F, ou « A en EHPAD »)</t>
  </si>
  <si>
    <t>Votre produit en une ligne</t>
  </si>
  <si>
    <t>Finalité revendiquée (la promesse, une phrase)</t>
  </si>
  <si>
    <t>Dispositif médical ? (lien avec l'exercice 1)</t>
  </si>
  <si>
    <t>A. Trois rôles : qui bénéficie, qui décide, qui paie ?</t>
  </si>
  <si>
    <t>Rôle</t>
  </si>
  <si>
    <t>Qui ? (pour votre projet)</t>
  </si>
  <si>
    <t>Pourquoi (une phrase)</t>
  </si>
  <si>
    <t>Qui bénéficie ?</t>
  </si>
  <si>
    <t>Qui décide (choisit, prescrit) ?</t>
  </si>
  <si>
    <t>Qui paie ?</t>
  </si>
  <si>
    <t>Est-ce la même personne ?</t>
  </si>
  <si>
    <t>B. Les cinq portes d'entrée : laquelle est réaliste pour vous ?</t>
  </si>
  <si>
    <t>Porte d'entrée (voie)</t>
  </si>
  <si>
    <t>Qui paierait, concrètement ?</t>
  </si>
  <si>
    <t>Possible ?</t>
  </si>
  <si>
    <t>Preuves que ce payeur demandera</t>
  </si>
  <si>
    <t>Ce que nous avons déjà</t>
  </si>
  <si>
    <t>Obstacle principal</t>
  </si>
  <si>
    <t>Intérêt (1 à 3)</t>
  </si>
  <si>
    <t>B2C : le patient ou sa famille paie (achat direct)</t>
  </si>
  <si>
    <t>B2B : un établissement paie (EHPAD, hôpital, service à domicile)</t>
  </si>
  <si>
    <t>B2B2C : une mutuelle ou un assureur paie pour ses adhérents</t>
  </si>
  <si>
    <t>Remboursement : télésurveillance en droit commun (liste LATM)</t>
  </si>
  <si>
    <t>Remboursement anticipé : PECAN (1 an, produit innovant)</t>
  </si>
  <si>
    <t>Porte la mieux notée (calcul)</t>
  </si>
  <si>
    <t>Nombre de portes « Oui »</t>
  </si>
  <si>
    <t>C. Votre choix</t>
  </si>
  <si>
    <t>Voie principale retenue</t>
  </si>
  <si>
    <t>Justification (une ou deux phrases)</t>
  </si>
  <si>
    <t>Effet du décret n° 2026-810 pour vous (2027)</t>
  </si>
  <si>
    <t>La preuve qui vous manque le plus</t>
  </si>
  <si>
    <t>Cohérence voie retenue / tableau B</t>
  </si>
  <si>
    <t>Partie 2 — De la preuve de concept au remboursement : la frise des 6 jalons (15:30-16:30)</t>
  </si>
  <si>
    <t>Remplissez Début et Fin (en mois ; 1 = premier mois du projet) et « Chemin critique ? ». La barre se dessine toute seule (orange = chemin critique, bleu = en parallèle). Durées : ORDRES DE GRANDEUR, À VÉRIFIER. Coûts : jamais de moyenne trouvée en ligne, de vrais devis.</t>
  </si>
  <si>
    <t>Règle : un jalon commence APRÈS la fin des jalons dont il dépend (colonnes C à E). Les autres peuvent se chevaucher : c'est le levier pour gagner du temps. Le jalon 1 est rempli comme exemple.</t>
  </si>
  <si>
    <t>Année 1</t>
  </si>
  <si>
    <t>Année 2</t>
  </si>
  <si>
    <t>Année 3</t>
  </si>
  <si>
    <t>Année 4</t>
  </si>
  <si>
    <t>Année 5</t>
  </si>
  <si>
    <t>N°</t>
  </si>
  <si>
    <t>Jalon</t>
  </si>
  <si>
    <t>Dépend de</t>
  </si>
  <si>
    <t>Durée indicative (à vérifier)</t>
  </si>
  <si>
    <t>Principaux postes de coût</t>
  </si>
  <si>
    <t>Poids du coût</t>
  </si>
  <si>
    <t>Début (mois)</t>
  </si>
  <si>
    <t>Fin (mois)</t>
  </si>
  <si>
    <t>Durée (mois)</t>
  </si>
  <si>
    <t>Contrôle</t>
  </si>
  <si>
    <t>Chemin critique ?</t>
  </si>
  <si>
    <t>Preuve de concept : prototype, premiers essais</t>
  </si>
  <si>
    <t>Quelques mois (3 à 6)</t>
  </si>
  <si>
    <t>Matériel, temps de l'équipe</t>
  </si>
  <si>
    <t>€</t>
  </si>
  <si>
    <t>Oui</t>
  </si>
  <si>
    <t>Stratégie réglementaire : finalité, classe, système qualité (ISO 13485)</t>
  </si>
  <si>
    <t>Dès le début, en parallèle</t>
  </si>
  <si>
    <t>Procédures, temps qualité, conseil ; chaque année ensuite</t>
  </si>
  <si>
    <t>€€ (permanent)</t>
  </si>
  <si>
    <t>Développement conforme : logiciel (IEC 62304), risques (ISO 14971), utilisation (IEC 62366-1), cybersécurité</t>
  </si>
  <si>
    <t>1 à 2 ans</t>
  </si>
  <si>
    <t>Équipe de développement, tests, documentation, cybersécurité</t>
  </si>
  <si>
    <t>€€€</t>
  </si>
  <si>
    <t>Preuves cliniques : montrer que ça marche, sur des patients</t>
  </si>
  <si>
    <t>Souvent plus d'un an</t>
  </si>
  <si>
    <t>Étude clinique : centres, soignants, patients, analyse</t>
  </si>
  <si>
    <t>Très variable (€ à €€€)</t>
  </si>
  <si>
    <t>Marquage CE : vérification par l'organisme notifié</t>
  </si>
  <si>
    <t>Plusieurs mois (6 à 12)</t>
  </si>
  <si>
    <t>Audit initial, puis audits de suivi chaque année</t>
  </si>
  <si>
    <t>€€ (puis chaque année)</t>
  </si>
  <si>
    <t>Accès au marché : avis HAS, liste LATM ou PECAN (ou vente directe)</t>
  </si>
  <si>
    <t>Dossier HAS, négociation du prix, ou équipe commerciale</t>
  </si>
  <si>
    <t>€€</t>
  </si>
  <si>
    <t>Durée totale jusqu'au remboursement (mois)</t>
  </si>
  <si>
    <t>… soit en années</t>
  </si>
  <si>
    <t>Somme des durées si tout était fait l'un après l'autre (mois)</t>
  </si>
  <si>
    <t>Temps gagné grâce au parallèle (mois)</t>
  </si>
  <si>
    <t>Nombre de jalons sur le chemin critique</t>
  </si>
  <si>
    <t>Contrôles « OK »</t>
  </si>
  <si>
    <t>Vos réponses (questions 5 à 9 de l'énoncé)</t>
  </si>
  <si>
    <t>Q5.</t>
  </si>
  <si>
    <t>Q6.</t>
  </si>
  <si>
    <t>Q7.</t>
  </si>
  <si>
    <t>Q8.</t>
  </si>
  <si>
    <t>Q9.</t>
  </si>
  <si>
    <t>Partie 3 — Votre projet passé au crible (16:30-16:50) : la fiche d'une page</t>
  </si>
  <si>
    <t>Colonne C : votre réponse (listes déroulantes). Colonne D : votre justification, ou un message automatique (fond jaune).</t>
  </si>
  <si>
    <t>Rubrique</t>
  </si>
  <si>
    <t>Votre réponse</t>
  </si>
  <si>
    <t>Justification / message automatique</t>
  </si>
  <si>
    <t>Équipe</t>
  </si>
  <si>
    <t>Cas d'usage</t>
  </si>
  <si>
    <t>Produit en une ligne</t>
  </si>
  <si>
    <t>Finalité revendiquée (une phrase, la promesse du fabricant)</t>
  </si>
  <si>
    <t>Bien-être ou dispositif médical ?</t>
  </si>
  <si>
    <t>Classe probable</t>
  </si>
  <si>
    <t>3b</t>
  </si>
  <si>
    <t>Règle de classification utilisée</t>
  </si>
  <si>
    <t>4a</t>
  </si>
  <si>
    <t>Norme : ISO 13485 (système qualité)</t>
  </si>
  <si>
    <t>4b</t>
  </si>
  <si>
    <t>Norme : ISO 14971 (gestion des risques)</t>
  </si>
  <si>
    <t>4c</t>
  </si>
  <si>
    <t>Norme : IEC 62304 (logiciel médical)</t>
  </si>
  <si>
    <t>4d</t>
  </si>
  <si>
    <t>Norme : IEC 62366-1 (facilité d'usage)</t>
  </si>
  <si>
    <t>4e</t>
  </si>
  <si>
    <t>Norme : Cybersécurité : IEC 81001-5-1, guide MDCG 2019-16</t>
  </si>
  <si>
    <t>IA dans le produit ?</t>
  </si>
  <si>
    <t>5b</t>
  </si>
  <si>
    <t>Justification IA</t>
  </si>
  <si>
    <t>CRA (cybersécurité des objets connectés, si bien-être)</t>
  </si>
  <si>
    <t>Données : RGPD</t>
  </si>
  <si>
    <t>Oui : données de santé = données « sensibles » (article 9)</t>
  </si>
  <si>
    <t>7b</t>
  </si>
  <si>
    <t>Données stockées chez un tiers (serveur, cloud) ?</t>
  </si>
  <si>
    <t>Voie d'accès principale</t>
  </si>
  <si>
    <t>8b</t>
  </si>
  <si>
    <t>Payeur (qui sort l'argent ?)</t>
  </si>
  <si>
    <t>9a</t>
  </si>
  <si>
    <t>Risque principal n° 1 (lien avec l'exercice 2)</t>
  </si>
  <si>
    <t>9b</t>
  </si>
  <si>
    <t>Risque principal n° 2 (lien avec l'exercice 2)</t>
  </si>
  <si>
    <t>9c</t>
  </si>
  <si>
    <t>Risque principal n° 3 (lien avec l'exercice 2)</t>
  </si>
  <si>
    <t>Prochaine étape pour le Projet 1 (30 octobre)</t>
  </si>
  <si>
    <t>Fiche complète ?</t>
  </si>
  <si>
    <t>Règle 11 (logiciel)</t>
  </si>
  <si>
    <t>Règle 10 (appareil de mesure)</t>
  </si>
  <si>
    <t>Règle 12 (administre un médicament)</t>
  </si>
  <si>
    <t>Règle 13 (autre appareil actif)</t>
  </si>
  <si>
    <t>Autre (préciser)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</si>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</sst>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2A78D6"/>
      <name val="Calibri"/>
    </font>
    <font>
      <b/>
      <sz val="11"/>
      <name val="Calibri"/>
    </font>
    <font>
      <sz val="11"/>
      <color rgb="FF1F4E9A"/>
      <name val="Calibri"/>
    </font>
    <font>
      <b/>
      <sz val="12"/>
      <color rgb="FF2A78D6"/>
      <name val="Calibri"/>
    </font>
    <font>
      <b/>
      <sz val="11"/>
      <color rgb="FFFFFFFF"/>
      <name val="Calibri"/>
    </font>
    <font>
      <sz val="7"/>
      <color rgb="FF52514E"/>
      <name val="Calibri"/>
    </font>
    <font>
      <b/>
      <sz val="11"/>
      <color rgb="FF52514E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1F1EE"/>
      </patternFill>
    </fill>
    <fill>
      <patternFill patternType="solid">
        <fgColor rgb="FFE3EEFB"/>
      </patternFill>
    </fill>
    <fill>
      <patternFill patternType="solid">
        <fgColor rgb="FF2A78D6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9C8C2"/>
      </left>
      <right style="thin">
        <color rgb="FFC9C8C2"/>
      </right>
      <top style="thin">
        <color rgb="FFC9C8C2"/>
      </top>
      <bottom style="thin">
        <color rgb="FFC9C8C2"/>
      </bottom>
      <diagonal/>
    </border>
    <border>
      <left/>
      <right style="thin">
        <color rgb="FFC9C8C2"/>
      </right>
      <top style="thin">
        <color rgb="FFC9C8C2"/>
      </top>
      <bottom style="thin">
        <color rgb="FFC9C8C2"/>
      </bottom>
      <diagonal/>
    </border>
    <border>
      <left/>
      <right/>
      <top style="thin">
        <color rgb="FFC9C8C2"/>
      </top>
      <bottom style="thin">
        <color rgb="FFC9C8C2"/>
      </bottom>
      <diagonal/>
    </border>
    <border>
      <left style="hair">
        <color rgb="FFE6E5E0"/>
      </left>
      <right/>
      <top/>
      <bottom style="hair">
        <color rgb="FFE6E5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8" fillId="0" borderId="0" xfId="0" applyFont="1"/>
    <xf numFmtId="0" fontId="6" fillId="4" borderId="0" xfId="0" applyFont="1" applyFill="1"/>
    <xf numFmtId="0" fontId="7" fillId="0" borderId="0" xfId="0" applyFont="1" applyAlignment="1">
      <alignment horizontal="center" textRotation="90"/>
    </xf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3">
    <dxf>
      <font>
        <b/>
        <color rgb="FFB4441C"/>
      </font>
      <fill>
        <patternFill patternType="solid">
          <fgColor rgb="FFFDE8DE"/>
        </patternFill>
      </fill>
    </dxf>
    <dxf>
      <fill>
        <patternFill patternType="solid">
          <fgColor rgb="FF2A78D6"/>
        </patternFill>
      </fill>
    </dxf>
    <dxf>
      <fill>
        <patternFill patternType="solid">
          <fgColor rgb="FFEB683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0"/>
  <sheetViews>
    <sheetView tabSelected="1" workbookViewId="0"/>
  </sheetViews>
  <sheetFormatPr defaultRowHeight="15"/>
  <cols>
    <col min="2" max="2" width="110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/>
    </row>
    <row r="4" spans="2:2">
      <c r="B4" s="3" t="s">
        <v>2</v>
      </c>
    </row>
    <row r="5" spans="2:2">
      <c r="B5" s="2" t="s">
        <v>3</v>
      </c>
    </row>
    <row r="6" spans="2:2">
      <c r="B6" s="2" t="s">
        <v>4</v>
      </c>
    </row>
    <row r="7" spans="2:2">
      <c r="B7" s="2" t="s">
        <v>5</v>
      </c>
    </row>
    <row r="8" spans="2:2">
      <c r="B8" s="2"/>
    </row>
    <row r="9" spans="2:2">
      <c r="B9" s="3" t="s">
        <v>6</v>
      </c>
    </row>
    <row r="10" spans="2:2">
      <c r="B10" s="2" t="s">
        <v>7</v>
      </c>
    </row>
    <row r="11" spans="2:2">
      <c r="B11" s="2" t="s">
        <v>8</v>
      </c>
    </row>
    <row r="12" spans="2:2">
      <c r="B12" s="2" t="s">
        <v>9</v>
      </c>
    </row>
    <row r="13" spans="2:2">
      <c r="B13" s="2" t="s">
        <v>10</v>
      </c>
    </row>
    <row r="14" spans="2:2">
      <c r="B14" s="2"/>
    </row>
    <row r="15" spans="2:2">
      <c r="B15" s="3" t="s">
        <v>11</v>
      </c>
    </row>
    <row r="16" spans="2:2">
      <c r="B16" s="2" t="s">
        <v>12</v>
      </c>
    </row>
    <row r="17" spans="2:2">
      <c r="B17" s="2" t="s">
        <v>13</v>
      </c>
    </row>
    <row r="18" spans="2:2">
      <c r="B18" s="2" t="s">
        <v>14</v>
      </c>
    </row>
    <row r="19" spans="2:2">
      <c r="B19" s="2"/>
    </row>
    <row r="20" spans="2:2">
      <c r="B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1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" customWidth="1"/>
    <col min="2" max="2" width="34" customWidth="1"/>
    <col min="3" max="3" width="40" customWidth="1"/>
    <col min="4" max="4" width="16" customWidth="1"/>
    <col min="5" max="5" width="46" customWidth="1"/>
    <col min="6" max="6" width="34" customWidth="1"/>
    <col min="7" max="7" width="38" customWidth="1"/>
    <col min="8" max="8" width="12" customWidth="1"/>
  </cols>
  <sheetData>
    <row r="1" spans="2:7">
      <c r="B1" s="4" t="s">
        <v>16</v>
      </c>
    </row>
    <row r="2" spans="2:7">
      <c r="B2" t="s">
        <v>17</v>
      </c>
    </row>
    <row r="4" spans="2:7">
      <c r="B4" s="5" t="s">
        <v>18</v>
      </c>
      <c r="C4" s="22"/>
      <c r="D4" s="24"/>
      <c r="E4" s="24"/>
      <c r="F4" s="24"/>
      <c r="G4" s="24"/>
    </row>
    <row r="5" spans="2:7">
      <c r="B5" s="5" t="s">
        <v>19</v>
      </c>
      <c r="C5" s="22"/>
      <c r="D5" s="24"/>
      <c r="E5" s="24"/>
      <c r="F5" s="24"/>
      <c r="G5" s="24"/>
    </row>
    <row r="6" spans="2:7">
      <c r="B6" s="5" t="s">
        <v>20</v>
      </c>
      <c r="C6" s="22"/>
      <c r="D6" s="24"/>
      <c r="E6" s="24"/>
      <c r="F6" s="24"/>
      <c r="G6" s="24"/>
    </row>
    <row r="7" spans="2:7">
      <c r="B7" s="5" t="s">
        <v>21</v>
      </c>
      <c r="C7" s="22"/>
      <c r="D7" s="24"/>
      <c r="E7" s="24"/>
      <c r="F7" s="24"/>
      <c r="G7" s="24"/>
    </row>
    <row r="9" spans="2:7">
      <c r="B9" s="7" t="s">
        <v>22</v>
      </c>
    </row>
    <row r="10" spans="2:7">
      <c r="B10" s="8" t="s">
        <v>23</v>
      </c>
      <c r="C10" s="23" t="s">
        <v>24</v>
      </c>
      <c r="D10" s="25"/>
      <c r="E10" s="23" t="s">
        <v>25</v>
      </c>
      <c r="F10" s="26"/>
      <c r="G10" s="25"/>
    </row>
    <row r="11" spans="2:7" ht="48" customHeight="1">
      <c r="B11" s="5" t="s">
        <v>26</v>
      </c>
      <c r="C11" s="22"/>
      <c r="D11" s="24"/>
      <c r="E11" s="22"/>
      <c r="F11" s="24"/>
      <c r="G11" s="24"/>
    </row>
    <row r="12" spans="2:7" ht="48" customHeight="1">
      <c r="B12" s="5" t="s">
        <v>27</v>
      </c>
      <c r="C12" s="22"/>
      <c r="D12" s="24"/>
      <c r="E12" s="22"/>
      <c r="F12" s="24"/>
      <c r="G12" s="24"/>
    </row>
    <row r="13" spans="2:7" ht="48" customHeight="1">
      <c r="B13" s="5" t="s">
        <v>28</v>
      </c>
      <c r="C13" s="22"/>
      <c r="D13" s="24"/>
      <c r="E13" s="22"/>
      <c r="F13" s="24"/>
      <c r="G13" s="24"/>
    </row>
    <row r="14" spans="2:7" ht="48" customHeight="1">
      <c r="B14" s="5" t="s">
        <v>29</v>
      </c>
      <c r="C14" s="22"/>
      <c r="D14" s="24"/>
      <c r="E14" s="22"/>
      <c r="F14" s="24"/>
      <c r="G14" s="24"/>
    </row>
    <row r="16" spans="2:7">
      <c r="B16" s="7" t="s">
        <v>30</v>
      </c>
    </row>
    <row r="17" spans="2:8">
      <c r="B17" s="8" t="s">
        <v>31</v>
      </c>
      <c r="C17" s="8" t="s">
        <v>32</v>
      </c>
      <c r="D17" s="8" t="s">
        <v>33</v>
      </c>
      <c r="E17" s="8" t="s">
        <v>34</v>
      </c>
      <c r="F17" s="8" t="s">
        <v>35</v>
      </c>
      <c r="G17" s="8" t="s">
        <v>36</v>
      </c>
      <c r="H17" s="8" t="s">
        <v>37</v>
      </c>
    </row>
    <row r="18" spans="2:8" ht="62.1" customHeight="1">
      <c r="B18" s="5" t="s">
        <v>38</v>
      </c>
      <c r="C18" s="6"/>
      <c r="D18" s="9"/>
      <c r="E18" s="6"/>
      <c r="F18" s="6"/>
      <c r="G18" s="6"/>
      <c r="H18" s="9"/>
    </row>
    <row r="19" spans="2:8" ht="62.1" customHeight="1">
      <c r="B19" s="5" t="s">
        <v>39</v>
      </c>
      <c r="C19" s="6"/>
      <c r="D19" s="9"/>
      <c r="E19" s="6"/>
      <c r="F19" s="6"/>
      <c r="G19" s="6"/>
      <c r="H19" s="9"/>
    </row>
    <row r="20" spans="2:8" ht="62.1" customHeight="1">
      <c r="B20" s="5" t="s">
        <v>40</v>
      </c>
      <c r="C20" s="6"/>
      <c r="D20" s="9"/>
      <c r="E20" s="6"/>
      <c r="F20" s="6"/>
      <c r="G20" s="6"/>
      <c r="H20" s="9"/>
    </row>
    <row r="21" spans="2:8" ht="62.1" customHeight="1">
      <c r="B21" s="5" t="s">
        <v>41</v>
      </c>
      <c r="C21" s="6"/>
      <c r="D21" s="9"/>
      <c r="E21" s="6"/>
      <c r="F21" s="6"/>
      <c r="G21" s="6"/>
      <c r="H21" s="9"/>
    </row>
    <row r="22" spans="2:8" ht="62.1" customHeight="1">
      <c r="B22" s="5" t="s">
        <v>42</v>
      </c>
      <c r="C22" s="6"/>
      <c r="D22" s="9"/>
      <c r="E22" s="6"/>
      <c r="F22" s="6"/>
      <c r="G22" s="6"/>
      <c r="H22" s="9"/>
    </row>
    <row r="23" spans="2:8">
      <c r="B23" s="5" t="s">
        <v>43</v>
      </c>
      <c r="C23" s="21" t="str">
        <f>IF(COUNT(H18:H22)=0,"Notez l'intérêt de 1 à 3 en colonne H",INDEX(B18:B22,MATCH(MAX(H18:H22),H18:H22,0)))</f>
        <v>Notez l'intérêt de 1 à 3 en colonne H</v>
      </c>
      <c r="D23" s="24"/>
      <c r="E23" s="24"/>
      <c r="F23" s="24"/>
      <c r="G23" s="24"/>
    </row>
    <row r="24" spans="2:8">
      <c r="B24" s="5" t="s">
        <v>44</v>
      </c>
      <c r="C24" s="10">
        <f>COUNTIF(D18:D22,"Oui")</f>
        <v>0</v>
      </c>
      <c r="D24" s="21" t="str">
        <f>IF(C24=0,"Aucune porte sûre : qui paiera ? C'est le risque n°1 d'une jeune entreprise.",IF(C24&gt;2,"Beaucoup de « Oui » : êtes-vous sûrs ? Chaque payeur demande ses propres preuves.","OK"))</f>
        <v>Aucune porte sûre : qui paiera ? C'est le risque n°1 d'une jeune entreprise.</v>
      </c>
      <c r="E24" s="24"/>
      <c r="F24" s="24"/>
      <c r="G24" s="24"/>
    </row>
    <row r="26" spans="2:8">
      <c r="B26" s="7" t="s">
        <v>45</v>
      </c>
    </row>
    <row r="27" spans="2:8" ht="33.950000000000003" customHeight="1">
      <c r="B27" s="5" t="s">
        <v>46</v>
      </c>
      <c r="C27" s="22"/>
      <c r="D27" s="24"/>
      <c r="E27" s="24"/>
      <c r="F27" s="24"/>
      <c r="G27" s="24"/>
    </row>
    <row r="28" spans="2:8" ht="33.950000000000003" customHeight="1">
      <c r="B28" s="5" t="s">
        <v>47</v>
      </c>
      <c r="C28" s="22"/>
      <c r="D28" s="24"/>
      <c r="E28" s="24"/>
      <c r="F28" s="24"/>
      <c r="G28" s="24"/>
    </row>
    <row r="29" spans="2:8" ht="33.950000000000003" customHeight="1">
      <c r="B29" s="5" t="s">
        <v>48</v>
      </c>
      <c r="C29" s="22"/>
      <c r="D29" s="24"/>
      <c r="E29" s="24"/>
      <c r="F29" s="24"/>
      <c r="G29" s="24"/>
    </row>
    <row r="30" spans="2:8" ht="33.950000000000003" customHeight="1">
      <c r="B30" s="5" t="s">
        <v>49</v>
      </c>
      <c r="C30" s="22"/>
      <c r="D30" s="24"/>
      <c r="E30" s="24"/>
      <c r="F30" s="24"/>
      <c r="G30" s="24"/>
    </row>
    <row r="31" spans="2:8">
      <c r="B31" s="5" t="s">
        <v>50</v>
      </c>
      <c r="C31" s="21" t="str">
        <f>IF(C27="","Choisissez la voie principale en C27",IF(INDEX(D18:D22,MATCH(C27,{"B2C (patient)","B2B (établissement)","B2B2C (mutuelle)","Remboursement LATM","PECAN (1 an)"},0))="Non","Attention : vous avez répondu « Non » pour cette voie dans le tableau B","OK"))</f>
        <v>Choisissez la voie principale en C27</v>
      </c>
      <c r="D31" s="24"/>
      <c r="E31" s="24"/>
      <c r="F31" s="24"/>
      <c r="G31" s="24"/>
    </row>
  </sheetData>
  <mergeCells count="21">
    <mergeCell ref="C5:G5"/>
    <mergeCell ref="C14:D14"/>
    <mergeCell ref="C29:G29"/>
    <mergeCell ref="C4:G4"/>
    <mergeCell ref="C10:D10"/>
    <mergeCell ref="E11:G11"/>
    <mergeCell ref="C7:G7"/>
    <mergeCell ref="E10:G10"/>
    <mergeCell ref="E13:G13"/>
    <mergeCell ref="C6:G6"/>
    <mergeCell ref="D24:G24"/>
    <mergeCell ref="C31:G31"/>
    <mergeCell ref="C12:D12"/>
    <mergeCell ref="C11:D11"/>
    <mergeCell ref="C27:G27"/>
    <mergeCell ref="E12:G12"/>
    <mergeCell ref="C23:G23"/>
    <mergeCell ref="E14:G14"/>
    <mergeCell ref="C28:G28"/>
    <mergeCell ref="C13:D13"/>
    <mergeCell ref="C30:G30"/>
  </mergeCells>
  <dataValidations count="6">
    <dataValidation type="list" allowBlank="1" errorTitle="Valeur non prévue" error="Choisissez dans la liste." sqref="C4" xr:uid="{00000000-0002-0000-0100-000000000000}">
      <formula1>"A,A en EHPAD,B,C,D,E,F"</formula1>
    </dataValidation>
    <dataValidation type="list" allowBlank="1" errorTitle="Valeur non prévue" error="Choisissez dans la liste." sqref="C7" xr:uid="{00000000-0002-0000-0100-000001000000}">
      <formula1>"Dispositif médical,Bien-être,À discuter"</formula1>
    </dataValidation>
    <dataValidation type="list" allowBlank="1" errorTitle="Valeur non prévue" error="Choisissez dans la liste." sqref="C14" xr:uid="{00000000-0002-0000-0100-000002000000}">
      <formula1>"Oui,Non,En partie"</formula1>
    </dataValidation>
    <dataValidation type="list" allowBlank="1" errorTitle="Valeur non prévue" error="Choisissez dans la liste." sqref="D18:D22" xr:uid="{00000000-0002-0000-0100-000003000000}">
      <formula1>"Oui,Peut-être,Non"</formula1>
    </dataValidation>
    <dataValidation type="list" allowBlank="1" errorTitle="Valeur non prévue" error="Choisissez dans la liste." sqref="H18:H22" xr:uid="{00000000-0002-0000-0100-000004000000}">
      <formula1>"1,2,3"</formula1>
    </dataValidation>
    <dataValidation type="list" allowBlank="1" errorTitle="Valeur non prévue" error="Choisissez dans la liste." sqref="C27" xr:uid="{00000000-0002-0000-0100-000005000000}">
      <formula1>"B2C (patient),B2B (établissement),B2B2C (mutuelle),Remboursement LATM,PECAN (1 an)"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5"/>
  <sheetViews>
    <sheetView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4" customWidth="1"/>
    <col min="2" max="2" width="52" customWidth="1"/>
    <col min="3" max="5" width="6" customWidth="1"/>
    <col min="6" max="6" width="20" customWidth="1"/>
    <col min="7" max="7" width="34" customWidth="1"/>
    <col min="8" max="8" width="14" customWidth="1"/>
    <col min="9" max="11" width="8" customWidth="1"/>
    <col min="12" max="12" width="18" customWidth="1"/>
    <col min="13" max="13" width="10" customWidth="1"/>
    <col min="14" max="73" width="2.5703125" customWidth="1"/>
  </cols>
  <sheetData>
    <row r="1" spans="1:73">
      <c r="A1" s="4" t="s">
        <v>51</v>
      </c>
    </row>
    <row r="2" spans="1:73">
      <c r="A2" t="s">
        <v>52</v>
      </c>
    </row>
    <row r="3" spans="1:73">
      <c r="A3" t="s">
        <v>53</v>
      </c>
    </row>
    <row r="4" spans="1:73">
      <c r="N4" s="11" t="s">
        <v>54</v>
      </c>
      <c r="Z4" s="11" t="s">
        <v>55</v>
      </c>
      <c r="AL4" s="11" t="s">
        <v>56</v>
      </c>
      <c r="AX4" s="11" t="s">
        <v>57</v>
      </c>
      <c r="BJ4" s="11" t="s">
        <v>58</v>
      </c>
    </row>
    <row r="5" spans="1:73" ht="32.1" customHeight="1">
      <c r="A5" s="12" t="s">
        <v>59</v>
      </c>
      <c r="B5" s="8" t="s">
        <v>60</v>
      </c>
      <c r="C5" s="8" t="s">
        <v>61</v>
      </c>
      <c r="D5" s="8" t="s">
        <v>61</v>
      </c>
      <c r="E5" s="8" t="s">
        <v>61</v>
      </c>
      <c r="F5" s="8" t="s">
        <v>62</v>
      </c>
      <c r="G5" s="8" t="s">
        <v>63</v>
      </c>
      <c r="H5" s="8" t="s">
        <v>64</v>
      </c>
      <c r="I5" s="8" t="s">
        <v>65</v>
      </c>
      <c r="J5" s="8" t="s">
        <v>66</v>
      </c>
      <c r="K5" s="8" t="s">
        <v>67</v>
      </c>
      <c r="L5" s="8" t="s">
        <v>68</v>
      </c>
      <c r="M5" s="8" t="s">
        <v>69</v>
      </c>
      <c r="N5" s="13">
        <v>1</v>
      </c>
      <c r="O5" s="13">
        <v>2</v>
      </c>
      <c r="P5" s="13">
        <v>3</v>
      </c>
      <c r="Q5" s="13">
        <v>4</v>
      </c>
      <c r="R5" s="13">
        <v>5</v>
      </c>
      <c r="S5" s="13">
        <v>6</v>
      </c>
      <c r="T5" s="13">
        <v>7</v>
      </c>
      <c r="U5" s="13">
        <v>8</v>
      </c>
      <c r="V5" s="13">
        <v>9</v>
      </c>
      <c r="W5" s="13">
        <v>10</v>
      </c>
      <c r="X5" s="13">
        <v>11</v>
      </c>
      <c r="Y5" s="13">
        <v>12</v>
      </c>
      <c r="Z5" s="13">
        <v>13</v>
      </c>
      <c r="AA5" s="13">
        <v>14</v>
      </c>
      <c r="AB5" s="13">
        <v>15</v>
      </c>
      <c r="AC5" s="13">
        <v>16</v>
      </c>
      <c r="AD5" s="13">
        <v>17</v>
      </c>
      <c r="AE5" s="13">
        <v>18</v>
      </c>
      <c r="AF5" s="13">
        <v>19</v>
      </c>
      <c r="AG5" s="13">
        <v>20</v>
      </c>
      <c r="AH5" s="13">
        <v>21</v>
      </c>
      <c r="AI5" s="13">
        <v>22</v>
      </c>
      <c r="AJ5" s="13">
        <v>23</v>
      </c>
      <c r="AK5" s="13">
        <v>24</v>
      </c>
      <c r="AL5" s="13">
        <v>25</v>
      </c>
      <c r="AM5" s="13">
        <v>26</v>
      </c>
      <c r="AN5" s="13">
        <v>27</v>
      </c>
      <c r="AO5" s="13">
        <v>28</v>
      </c>
      <c r="AP5" s="13">
        <v>29</v>
      </c>
      <c r="AQ5" s="13">
        <v>30</v>
      </c>
      <c r="AR5" s="13">
        <v>31</v>
      </c>
      <c r="AS5" s="13">
        <v>32</v>
      </c>
      <c r="AT5" s="13">
        <v>33</v>
      </c>
      <c r="AU5" s="13">
        <v>34</v>
      </c>
      <c r="AV5" s="13">
        <v>35</v>
      </c>
      <c r="AW5" s="13">
        <v>36</v>
      </c>
      <c r="AX5" s="13">
        <v>37</v>
      </c>
      <c r="AY5" s="13">
        <v>38</v>
      </c>
      <c r="AZ5" s="13">
        <v>39</v>
      </c>
      <c r="BA5" s="13">
        <v>40</v>
      </c>
      <c r="BB5" s="13">
        <v>41</v>
      </c>
      <c r="BC5" s="13">
        <v>42</v>
      </c>
      <c r="BD5" s="13">
        <v>43</v>
      </c>
      <c r="BE5" s="13">
        <v>44</v>
      </c>
      <c r="BF5" s="13">
        <v>45</v>
      </c>
      <c r="BG5" s="13">
        <v>46</v>
      </c>
      <c r="BH5" s="13">
        <v>47</v>
      </c>
      <c r="BI5" s="13">
        <v>48</v>
      </c>
      <c r="BJ5" s="13">
        <v>49</v>
      </c>
      <c r="BK5" s="13">
        <v>50</v>
      </c>
      <c r="BL5" s="13">
        <v>51</v>
      </c>
      <c r="BM5" s="13">
        <v>52</v>
      </c>
      <c r="BN5" s="13">
        <v>53</v>
      </c>
      <c r="BO5" s="13">
        <v>54</v>
      </c>
      <c r="BP5" s="13">
        <v>55</v>
      </c>
      <c r="BQ5" s="13">
        <v>56</v>
      </c>
      <c r="BR5" s="13">
        <v>57</v>
      </c>
      <c r="BS5" s="13">
        <v>58</v>
      </c>
      <c r="BT5" s="13">
        <v>59</v>
      </c>
      <c r="BU5" s="13">
        <v>60</v>
      </c>
    </row>
    <row r="6" spans="1:73" ht="45.95" customHeight="1">
      <c r="A6" s="14">
        <v>1</v>
      </c>
      <c r="B6" s="15" t="s">
        <v>70</v>
      </c>
      <c r="C6" s="16"/>
      <c r="D6" s="16"/>
      <c r="E6" s="16"/>
      <c r="F6" s="15" t="s">
        <v>71</v>
      </c>
      <c r="G6" s="15" t="s">
        <v>72</v>
      </c>
      <c r="H6" s="16" t="s">
        <v>73</v>
      </c>
      <c r="I6" s="9">
        <v>1</v>
      </c>
      <c r="J6" s="9">
        <v>6</v>
      </c>
      <c r="K6" s="17">
        <f>IF(OR(I6="",J6=""),"",J6-I6+1)</f>
        <v>6</v>
      </c>
      <c r="L6" s="18" t="str">
        <f>IF(OR(I6="",J6=""),"à remplir",IF(J6&lt;I6,"Fin avant début",IF(AND(IF($C6="",TRUE,I6&gt;N(INDEX($J$6:$J$11,$C6))),IF($D6="",TRUE,I6&gt;N(INDEX($J$6:$J$11,$D6))),IF($E6="",TRUE,I6&gt;N(INDEX($J$6:$J$11,$E6)))),"OK","Trop tôt : voir « dépend de »")))</f>
        <v>OK</v>
      </c>
      <c r="M6" s="9" t="s">
        <v>74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</row>
    <row r="7" spans="1:73" ht="45.95" customHeight="1">
      <c r="A7" s="14">
        <v>2</v>
      </c>
      <c r="B7" s="15" t="s">
        <v>75</v>
      </c>
      <c r="C7" s="16"/>
      <c r="D7" s="16"/>
      <c r="E7" s="16"/>
      <c r="F7" s="15" t="s">
        <v>76</v>
      </c>
      <c r="G7" s="15" t="s">
        <v>77</v>
      </c>
      <c r="H7" s="16" t="s">
        <v>78</v>
      </c>
      <c r="I7" s="9"/>
      <c r="J7" s="9"/>
      <c r="K7" s="17" t="str">
        <f>IF(OR(I7="",J7=""),"",J7-I7+1)</f>
        <v/>
      </c>
      <c r="L7" s="18" t="str">
        <f>IF(OR(I7="",J7=""),"à remplir",IF(J7&lt;I7,"Fin avant début",IF(AND(IF($C7="",TRUE,I7&gt;N(INDEX($J$6:$J$11,$C7))),IF($D7="",TRUE,I7&gt;N(INDEX($J$6:$J$11,$D7))),IF($E7="",TRUE,I7&gt;N(INDEX($J$6:$J$11,$E7)))),"OK","Trop tôt : voir « dépend de »")))</f>
        <v>à remplir</v>
      </c>
      <c r="M7" s="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</row>
    <row r="8" spans="1:73" ht="45.95" customHeight="1">
      <c r="A8" s="14">
        <v>3</v>
      </c>
      <c r="B8" s="15" t="s">
        <v>79</v>
      </c>
      <c r="C8" s="16">
        <v>1</v>
      </c>
      <c r="D8" s="16"/>
      <c r="E8" s="16"/>
      <c r="F8" s="15" t="s">
        <v>80</v>
      </c>
      <c r="G8" s="15" t="s">
        <v>81</v>
      </c>
      <c r="H8" s="16" t="s">
        <v>82</v>
      </c>
      <c r="I8" s="9"/>
      <c r="J8" s="9"/>
      <c r="K8" s="17" t="str">
        <f>IF(OR(I8="",J8=""),"",J8-I8+1)</f>
        <v/>
      </c>
      <c r="L8" s="18" t="str">
        <f>IF(OR(I8="",J8=""),"à remplir",IF(J8&lt;I8,"Fin avant début",IF(AND(IF($C8="",TRUE,I8&gt;N(INDEX($J$6:$J$11,$C8))),IF($D8="",TRUE,I8&gt;N(INDEX($J$6:$J$11,$D8))),IF($E8="",TRUE,I8&gt;N(INDEX($J$6:$J$11,$E8)))),"OK","Trop tôt : voir « dépend de »")))</f>
        <v>à remplir</v>
      </c>
      <c r="M8" s="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ht="45.95" customHeight="1">
      <c r="A9" s="14">
        <v>4</v>
      </c>
      <c r="B9" s="15" t="s">
        <v>83</v>
      </c>
      <c r="C9" s="16">
        <v>1</v>
      </c>
      <c r="D9" s="16"/>
      <c r="E9" s="16"/>
      <c r="F9" s="15" t="s">
        <v>84</v>
      </c>
      <c r="G9" s="15" t="s">
        <v>85</v>
      </c>
      <c r="H9" s="16" t="s">
        <v>86</v>
      </c>
      <c r="I9" s="9"/>
      <c r="J9" s="9"/>
      <c r="K9" s="17" t="str">
        <f>IF(OR(I9="",J9=""),"",J9-I9+1)</f>
        <v/>
      </c>
      <c r="L9" s="18" t="str">
        <f>IF(OR(I9="",J9=""),"à remplir",IF(J9&lt;I9,"Fin avant début",IF(AND(IF($C9="",TRUE,I9&gt;N(INDEX($J$6:$J$11,$C9))),IF($D9="",TRUE,I9&gt;N(INDEX($J$6:$J$11,$D9))),IF($E9="",TRUE,I9&gt;N(INDEX($J$6:$J$11,$E9)))),"OK","Trop tôt : voir « dépend de »")))</f>
        <v>à remplir</v>
      </c>
      <c r="M9" s="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ht="45.95" customHeight="1">
      <c r="A10" s="14">
        <v>5</v>
      </c>
      <c r="B10" s="15" t="s">
        <v>87</v>
      </c>
      <c r="C10" s="16">
        <v>2</v>
      </c>
      <c r="D10" s="16">
        <v>3</v>
      </c>
      <c r="E10" s="16">
        <v>4</v>
      </c>
      <c r="F10" s="15" t="s">
        <v>88</v>
      </c>
      <c r="G10" s="15" t="s">
        <v>89</v>
      </c>
      <c r="H10" s="16" t="s">
        <v>90</v>
      </c>
      <c r="I10" s="9"/>
      <c r="J10" s="9"/>
      <c r="K10" s="17" t="str">
        <f>IF(OR(I10="",J10=""),"",J10-I10+1)</f>
        <v/>
      </c>
      <c r="L10" s="18" t="str">
        <f>IF(OR(I10="",J10=""),"à remplir",IF(J10&lt;I10,"Fin avant début",IF(AND(IF($C10="",TRUE,I10&gt;N(INDEX($J$6:$J$11,$C10))),IF($D10="",TRUE,I10&gt;N(INDEX($J$6:$J$11,$D10))),IF($E10="",TRUE,I10&gt;N(INDEX($J$6:$J$11,$E10)))),"OK","Trop tôt : voir « dépend de »")))</f>
        <v>à remplir</v>
      </c>
      <c r="M10" s="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ht="45.95" customHeight="1">
      <c r="A11" s="14">
        <v>6</v>
      </c>
      <c r="B11" s="15" t="s">
        <v>91</v>
      </c>
      <c r="C11" s="16">
        <v>5</v>
      </c>
      <c r="D11" s="16"/>
      <c r="E11" s="16"/>
      <c r="F11" s="15" t="s">
        <v>88</v>
      </c>
      <c r="G11" s="15" t="s">
        <v>92</v>
      </c>
      <c r="H11" s="16" t="s">
        <v>93</v>
      </c>
      <c r="I11" s="9"/>
      <c r="J11" s="9"/>
      <c r="K11" s="17" t="str">
        <f>IF(OR(I11="",J11=""),"",J11-I11+1)</f>
        <v/>
      </c>
      <c r="L11" s="18" t="str">
        <f>IF(OR(I11="",J11=""),"à remplir",IF(J11&lt;I11,"Fin avant début",IF(AND(IF($C11="",TRUE,I11&gt;N(INDEX($J$6:$J$11,$C11))),IF($D11="",TRUE,I11&gt;N(INDEX($J$6:$J$11,$D11))),IF($E11="",TRUE,I11&gt;N(INDEX($J$6:$J$11,$E11)))),"OK","Trop tôt : voir « dépend de »")))</f>
        <v>à remplir</v>
      </c>
      <c r="M11" s="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3" spans="1:73">
      <c r="B13" s="5" t="s">
        <v>94</v>
      </c>
      <c r="C13" s="21" t="str">
        <f>IF(COUNT(J6:J11)&lt;6,"remplissez les 6 jalons",MAX(J6:J11)-MIN(I6:I11)+1)</f>
        <v>remplissez les 6 jalons</v>
      </c>
      <c r="D13" s="26"/>
      <c r="E13" s="26"/>
      <c r="F13" s="25"/>
    </row>
    <row r="14" spans="1:73">
      <c r="B14" s="5" t="s">
        <v>95</v>
      </c>
      <c r="C14" s="21" t="str">
        <f>IF(ISNUMBER(C13),ROUND(C13/12,1),"")</f>
        <v/>
      </c>
      <c r="D14" s="26"/>
      <c r="E14" s="26"/>
      <c r="F14" s="25"/>
    </row>
    <row r="15" spans="1:73">
      <c r="B15" s="5" t="s">
        <v>96</v>
      </c>
      <c r="C15" s="21">
        <f>SUM(K6:K11)</f>
        <v>6</v>
      </c>
      <c r="D15" s="26"/>
      <c r="E15" s="26"/>
      <c r="F15" s="25"/>
    </row>
    <row r="16" spans="1:73">
      <c r="B16" s="5" t="s">
        <v>97</v>
      </c>
      <c r="C16" s="21" t="str">
        <f>IF(ISNUMBER(C13),C15-C13,"")</f>
        <v/>
      </c>
      <c r="D16" s="26"/>
      <c r="E16" s="26"/>
      <c r="F16" s="25"/>
    </row>
    <row r="17" spans="2:13">
      <c r="B17" s="5" t="s">
        <v>98</v>
      </c>
      <c r="C17" s="21">
        <f>COUNTIF(M6:M11,"Oui")</f>
        <v>1</v>
      </c>
      <c r="D17" s="26"/>
      <c r="E17" s="26"/>
      <c r="F17" s="25"/>
    </row>
    <row r="18" spans="2:13">
      <c r="B18" s="5" t="s">
        <v>99</v>
      </c>
      <c r="C18" s="21" t="str">
        <f>COUNTIF(L6:L11,"OK")&amp;" sur 6"</f>
        <v>1 sur 6</v>
      </c>
      <c r="D18" s="26"/>
      <c r="E18" s="26"/>
      <c r="F18" s="25"/>
    </row>
    <row r="20" spans="2:13">
      <c r="B20" s="7" t="s">
        <v>100</v>
      </c>
    </row>
    <row r="21" spans="2:13" ht="33.950000000000003" customHeight="1">
      <c r="B21" s="22" t="s">
        <v>101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2:13" ht="33.950000000000003" customHeight="1">
      <c r="B22" s="22" t="s">
        <v>102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2:13" ht="33.950000000000003" customHeight="1">
      <c r="B23" s="22" t="s">
        <v>103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2:13" ht="33.950000000000003" customHeight="1">
      <c r="B24" s="22" t="s">
        <v>104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2:13" ht="33.950000000000003" customHeight="1">
      <c r="B25" s="22" t="s">
        <v>105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</sheetData>
  <mergeCells count="11">
    <mergeCell ref="C13:F13"/>
    <mergeCell ref="B24:M24"/>
    <mergeCell ref="C18:F18"/>
    <mergeCell ref="C17:F17"/>
    <mergeCell ref="B25:M25"/>
    <mergeCell ref="B23:M23"/>
    <mergeCell ref="B22:M22"/>
    <mergeCell ref="C16:F16"/>
    <mergeCell ref="C15:F15"/>
    <mergeCell ref="B21:M21"/>
    <mergeCell ref="C14:F14"/>
  </mergeCells>
  <conditionalFormatting sqref="N6:BU11">
    <cfRule type="expression" dxfId="2" priority="1" stopIfTrue="1">
      <formula>AND(AND(N$5&gt;=$I6,N$5&lt;=$J6,$I6&lt;&gt;"",$J6&lt;&gt;""),$M6="Oui")</formula>
    </cfRule>
    <cfRule type="expression" dxfId="1" priority="2" stopIfTrue="1">
      <formula>AND(N$5&gt;=$I6,N$5&lt;=$J6,$I6&lt;&gt;"",$J6&lt;&gt;"")</formula>
    </cfRule>
  </conditionalFormatting>
  <conditionalFormatting sqref="L6:L11">
    <cfRule type="expression" dxfId="0" priority="3">
      <formula>LEFT($L6,4)="Trop"</formula>
    </cfRule>
  </conditionalFormatting>
  <dataValidations count="2">
    <dataValidation type="list" allowBlank="1" errorTitle="Valeur non prévue" error="Choisissez dans la liste." sqref="M6:M11" xr:uid="{00000000-0002-0000-0200-000000000000}">
      <formula1>"Oui,Non"</formula1>
    </dataValidation>
    <dataValidation type="whole" allowBlank="1" error="Un nombre entier de mois, entre 1 et 60." sqref="I6:J11" xr:uid="{00000000-0002-0000-0200-000001000000}">
      <formula1>1</formula1>
      <formula2>60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5" customWidth="1"/>
    <col min="2" max="2" width="44" customWidth="1"/>
    <col min="3" max="3" width="46" customWidth="1"/>
    <col min="4" max="4" width="62" customWidth="1"/>
  </cols>
  <sheetData>
    <row r="1" spans="1:4">
      <c r="A1" s="4" t="s">
        <v>106</v>
      </c>
    </row>
    <row r="2" spans="1:4">
      <c r="A2" t="s">
        <v>107</v>
      </c>
    </row>
    <row r="4" spans="1:4">
      <c r="A4" s="12" t="s">
        <v>59</v>
      </c>
      <c r="B4" s="8" t="s">
        <v>108</v>
      </c>
      <c r="C4" s="8" t="s">
        <v>109</v>
      </c>
      <c r="D4" s="8" t="s">
        <v>110</v>
      </c>
    </row>
    <row r="5" spans="1:4" ht="45.95" customHeight="1">
      <c r="A5" s="20"/>
      <c r="B5" s="5" t="s">
        <v>111</v>
      </c>
      <c r="C5" s="6"/>
      <c r="D5" s="18"/>
    </row>
    <row r="6" spans="1:4" ht="45.95" customHeight="1">
      <c r="A6" s="20"/>
      <c r="B6" s="5" t="s">
        <v>112</v>
      </c>
      <c r="C6" s="6"/>
      <c r="D6" s="18"/>
    </row>
    <row r="7" spans="1:4" ht="45.95" customHeight="1">
      <c r="A7" s="20"/>
      <c r="B7" s="5" t="s">
        <v>113</v>
      </c>
      <c r="C7" s="6"/>
      <c r="D7" s="18"/>
    </row>
    <row r="8" spans="1:4" ht="45.95" customHeight="1">
      <c r="A8" s="20">
        <v>1</v>
      </c>
      <c r="B8" s="5" t="s">
        <v>114</v>
      </c>
      <c r="C8" s="6"/>
      <c r="D8" s="18"/>
    </row>
    <row r="9" spans="1:4" ht="45.95" customHeight="1">
      <c r="A9" s="20">
        <v>2</v>
      </c>
      <c r="B9" s="5" t="s">
        <v>115</v>
      </c>
      <c r="C9" s="6"/>
      <c r="D9" s="6"/>
    </row>
    <row r="10" spans="1:4" ht="45.95" customHeight="1">
      <c r="A10" s="20">
        <v>3</v>
      </c>
      <c r="B10" s="5" t="s">
        <v>116</v>
      </c>
      <c r="C10" s="6"/>
      <c r="D10" s="6"/>
    </row>
    <row r="11" spans="1:4" ht="45.95" customHeight="1">
      <c r="A11" s="20" t="s">
        <v>117</v>
      </c>
      <c r="B11" s="5" t="s">
        <v>118</v>
      </c>
      <c r="C11" s="6"/>
      <c r="D11" s="10" t="str">
        <f>IF(C10="","Choisissez la classe",IF(OR(C10="IIa",C10="IIb",C10="III"),"Organisme notifié obligatoire (ex. GMED), puis marquage CE",IF(C10="I","Classe I : le fabricant se déclare conforme lui-même (hors cas particuliers)","Pas de marquage CE médical : vérifiez que la promesse reste non médicale partout")))</f>
        <v>Choisissez la classe</v>
      </c>
    </row>
    <row r="12" spans="1:4" ht="45.95" customHeight="1">
      <c r="A12" s="20" t="s">
        <v>119</v>
      </c>
      <c r="B12" s="5" t="s">
        <v>120</v>
      </c>
      <c r="C12" s="6"/>
      <c r="D12" s="6"/>
    </row>
    <row r="13" spans="1:4" ht="45.95" customHeight="1">
      <c r="A13" s="20" t="s">
        <v>121</v>
      </c>
      <c r="B13" s="5" t="s">
        <v>122</v>
      </c>
      <c r="C13" s="6"/>
      <c r="D13" s="18"/>
    </row>
    <row r="14" spans="1:4" ht="45.95" customHeight="1">
      <c r="A14" s="20" t="s">
        <v>123</v>
      </c>
      <c r="B14" s="5" t="s">
        <v>124</v>
      </c>
      <c r="C14" s="6"/>
      <c r="D14" s="18"/>
    </row>
    <row r="15" spans="1:4" ht="45.95" customHeight="1">
      <c r="A15" s="20" t="s">
        <v>125</v>
      </c>
      <c r="B15" s="5" t="s">
        <v>126</v>
      </c>
      <c r="C15" s="6"/>
      <c r="D15" s="18"/>
    </row>
    <row r="16" spans="1:4" ht="45.95" customHeight="1">
      <c r="A16" s="20" t="s">
        <v>127</v>
      </c>
      <c r="B16" s="5" t="s">
        <v>128</v>
      </c>
      <c r="C16" s="6"/>
      <c r="D16" s="18"/>
    </row>
    <row r="17" spans="1:4" ht="45.95" customHeight="1">
      <c r="A17" s="20">
        <v>5</v>
      </c>
      <c r="B17" s="5" t="s">
        <v>129</v>
      </c>
      <c r="C17" s="6"/>
      <c r="D17" s="10" t="str">
        <f>IF(C17="","Répondez Oui ou Non",IF(C17="Oui",IF(OR(C10="IIa",C10="IIb",C10="III"),"IA à haut risque (AI Act, annexe I) : obligations au 2 août 2028, vérifiées dans le dossier du marquage CE","IA hors organisme notifié : pas « haut risque » par l'annexe I ; vérifier l'annexe III (2 décembre 2027), à vérifier"),"Pas d'IA : AI Act non concerné pour l'instant"))</f>
        <v>Répondez Oui ou Non</v>
      </c>
    </row>
    <row r="18" spans="1:4" ht="45.95" customHeight="1">
      <c r="A18" s="20" t="s">
        <v>130</v>
      </c>
      <c r="B18" s="5" t="s">
        <v>131</v>
      </c>
      <c r="C18" s="6"/>
      <c r="D18" s="18"/>
    </row>
    <row r="19" spans="1:4" ht="45.95" customHeight="1">
      <c r="A19" s="20">
        <v>6</v>
      </c>
      <c r="B19" s="5" t="s">
        <v>132</v>
      </c>
      <c r="C19" s="10" t="str">
        <f>IF(C9="Bien-être","OUI, le CRA s'applique",IF(C9="Dispositif médical","NON (exclu : relève du MDR)",IF(C9="","Répondez à la ligne 2","À discuter : OUI si la promesse reste non médicale, NON si dispositif médical")))</f>
        <v>Répondez à la ligne 2</v>
      </c>
      <c r="D19" s="10" t="str">
        <f>IF(C9="Dispositif médical","Le CRA exclut les dispositifs médicaux relevant du MDR (la cybersécurité passe par le MDR)","Si bien-être : signalement des vulnérabilités dès le 11 septembre 2026, obligations principales au 11 décembre 2027")</f>
        <v>Si bien-être : signalement des vulnérabilités dès le 11 septembre 2026, obligations principales au 11 décembre 2027</v>
      </c>
    </row>
    <row r="20" spans="1:4" ht="45.95" customHeight="1">
      <c r="A20" s="20">
        <v>7</v>
      </c>
      <c r="B20" s="5" t="s">
        <v>133</v>
      </c>
      <c r="C20" s="15" t="s">
        <v>134</v>
      </c>
      <c r="D20" s="6"/>
    </row>
    <row r="21" spans="1:4" ht="45.95" customHeight="1">
      <c r="A21" s="20" t="s">
        <v>135</v>
      </c>
      <c r="B21" s="5" t="s">
        <v>136</v>
      </c>
      <c r="C21" s="6"/>
      <c r="D21" s="10" t="str">
        <f>IF(C21="Oui","Hébergeur certifié HDS obligatoire (référentiel version 2 ; l'ancienne certification ne vaut plus depuis le 16 mai 2026)",IF(C21="Non","Pas d'hébergeur tiers : mais la sécurité et le RGPD restent obligatoires","Répondez Oui ou Non"))</f>
        <v>Répondez Oui ou Non</v>
      </c>
    </row>
    <row r="22" spans="1:4" ht="45.95" customHeight="1">
      <c r="A22" s="20">
        <v>8</v>
      </c>
      <c r="B22" s="5" t="s">
        <v>137</v>
      </c>
      <c r="C22" s="6"/>
      <c r="D22" s="10" t="str">
        <f>IF(C22="","Choisissez la voie",IF(C22="B2C (patient)","Preuves : utilité ressentie, prix, simplicité ; marquage CE si promesse médicale",IF(C22="B2B (établissement)","Preuves : temps soignant économisé, fiabilité, branchement sur l'existant, RGPD / HDS, prix",IF(C22="B2B2C (mutuelle)","Preuves : économies ou service aux adhérents, preuves d'usage, marquage CE",IF(C22="Remboursement LATM","Preuves : marquage CE, preuves cliniques pour l'avis de la HAS, règles de l'ANS (à vérifier), médecin opérateur",IF(C22="PECAN (1 an)","Preuves : marquage CE, innovation présumée (HAS), règles de l'ANS (à vérifier) ; permis provisoire d'un an","Voie mixte : listez les preuves de chaque payeur"))))))</f>
        <v>Choisissez la voie</v>
      </c>
    </row>
    <row r="23" spans="1:4" ht="45.95" customHeight="1">
      <c r="A23" s="20" t="s">
        <v>138</v>
      </c>
      <c r="B23" s="5" t="s">
        <v>139</v>
      </c>
      <c r="C23" s="6"/>
      <c r="D23" s="18"/>
    </row>
    <row r="24" spans="1:4" ht="45.95" customHeight="1">
      <c r="A24" s="20" t="s">
        <v>140</v>
      </c>
      <c r="B24" s="5" t="s">
        <v>141</v>
      </c>
      <c r="C24" s="6"/>
      <c r="D24" s="18"/>
    </row>
    <row r="25" spans="1:4" ht="45.95" customHeight="1">
      <c r="A25" s="20" t="s">
        <v>142</v>
      </c>
      <c r="B25" s="5" t="s">
        <v>143</v>
      </c>
      <c r="C25" s="6"/>
      <c r="D25" s="18"/>
    </row>
    <row r="26" spans="1:4" ht="45.95" customHeight="1">
      <c r="A26" s="20" t="s">
        <v>144</v>
      </c>
      <c r="B26" s="5" t="s">
        <v>145</v>
      </c>
      <c r="C26" s="6"/>
      <c r="D26" s="18"/>
    </row>
    <row r="27" spans="1:4" ht="45.95" customHeight="1">
      <c r="A27" s="20">
        <v>10</v>
      </c>
      <c r="B27" s="5" t="s">
        <v>146</v>
      </c>
      <c r="C27" s="6"/>
      <c r="D27" s="18"/>
    </row>
    <row r="29" spans="1:4">
      <c r="B29" s="5" t="s">
        <v>147</v>
      </c>
      <c r="C29" s="21" t="str">
        <f>IF(COUNTBLANK(C5:C27)=0,"Oui : fiche complète","Il manque "&amp;COUNTBLANK(C5:C27)&amp;" réponse(s) en colonne C")</f>
        <v>Il manque 21 réponse(s) en colonne C</v>
      </c>
      <c r="D29" s="25"/>
    </row>
  </sheetData>
  <mergeCells count="1">
    <mergeCell ref="C29:D29"/>
  </mergeCells>
  <dataValidations count="7">
    <dataValidation type="list" allowBlank="1" errorTitle="Valeur non prévue" error="Choisissez dans la liste." sqref="C6" xr:uid="{00000000-0002-0000-0300-000000000000}">
      <formula1>"A,A en EHPAD,B,C,D,E,F"</formula1>
    </dataValidation>
    <dataValidation type="list" allowBlank="1" errorTitle="Valeur non prévue" error="Choisissez dans la liste." sqref="C9" xr:uid="{00000000-0002-0000-0300-000001000000}">
      <formula1>"Dispositif médical,Bien-être,À discuter"</formula1>
    </dataValidation>
    <dataValidation type="list" allowBlank="1" errorTitle="Valeur non prévue" error="Choisissez dans la liste." sqref="C10" xr:uid="{00000000-0002-0000-0300-000002000000}">
      <formula1>"I,IIa,IIb,III,—"</formula1>
    </dataValidation>
    <dataValidation type="list" allowBlank="1" errorTitle="Valeur non prévue" error="Choisissez dans la liste." sqref="C12:C16" xr:uid="{00000000-0002-0000-0300-000004000000}">
      <formula1>"Oui,Non,À voir"</formula1>
    </dataValidation>
    <dataValidation type="list" allowBlank="1" errorTitle="Valeur non prévue" error="Choisissez dans la liste." sqref="C17" xr:uid="{00000000-0002-0000-0300-000005000000}">
      <formula1>"Oui,Non,Pas encore décidé"</formula1>
    </dataValidation>
    <dataValidation type="list" allowBlank="1" errorTitle="Valeur non prévue" error="Choisissez dans la liste." sqref="C21" xr:uid="{00000000-0002-0000-0300-000006000000}">
      <formula1>"Oui,Non"</formula1>
    </dataValidation>
    <dataValidation type="list" allowBlank="1" errorTitle="Valeur non prévue" error="Choisissez dans la liste." sqref="C22" xr:uid="{00000000-0002-0000-0300-000007000000}">
      <formula1>"B2C (patient),B2B (établissement),B2B2C (mutuelle),Remboursement LATM,PECAN (1 an),Mixte"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3000000}">
          <x14:formula1>
            <xm:f>Listes!$A$1:$A$6</xm:f>
          </x14:formula1>
          <xm:sqref>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sheetData>
    <row r="1" spans="1:1">
      <c r="A1" t="s">
        <v>148</v>
      </c>
    </row>
    <row r="2" spans="1:1">
      <c r="A2" t="s">
        <v>149</v>
      </c>
    </row>
    <row r="3" spans="1:1">
      <c r="A3" t="s">
        <v>150</v>
      </c>
    </row>
    <row r="4" spans="1:1">
      <c r="A4" t="s">
        <v>151</v>
      </c>
    </row>
    <row r="5" spans="1:1">
      <c r="A5" t="s">
        <v>152</v>
      </c>
    </row>
    <row r="6" spans="1:1">
      <c r="A6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Mathilde De oliveira</cp:lastModifiedBy>
  <cp:revision/>
  <dcterms:created xsi:type="dcterms:W3CDTF">2026-10-14T06:52:27Z</dcterms:created>
  <dcterms:modified xsi:type="dcterms:W3CDTF">2026-10-16T15:39:01Z</dcterms:modified>
  <cp:category/>
  <cp:contentStatus/>
</cp:coreProperties>
</file>