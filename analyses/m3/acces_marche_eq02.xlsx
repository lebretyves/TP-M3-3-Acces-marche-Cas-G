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1e62bcd4c3450d" /></Relationships>
</file>

<file path=xl/workbook.xml><?xml version="1.0" encoding="utf-8"?>
<x:workbook xmlns:x="http://schemas.openxmlformats.org/spreadsheetml/2006/main">
  <x:sheets>
    <x:sheet xmlns:r="http://schemas.openxmlformats.org/officeDocument/2006/relationships" name="Lisez-moi" sheetId="1" r:id="R77793c3deabf403b"/>
    <x:sheet xmlns:r="http://schemas.openxmlformats.org/officeDocument/2006/relationships" name="Qui paie" sheetId="2" r:id="R6bfe58645dc24d80"/>
    <x:sheet xmlns:r="http://schemas.openxmlformats.org/officeDocument/2006/relationships" name="Frise" sheetId="3" r:id="R8842f17fb55f4d8a"/>
    <x:sheet xmlns:r="http://schemas.openxmlformats.org/officeDocument/2006/relationships" name="Votre projet" sheetId="4" r:id="Rd25dc938da0f4f85"/>
    <x:sheet xmlns:r="http://schemas.openxmlformats.org/officeDocument/2006/relationships" name="Listes" sheetId="5" r:id="R26e8870e76314bec"/>
  </x:sheets>
</x:workbook>
</file>

<file path=xl/sharedStrings.xml><?xml version="1.0" encoding="utf-8"?>
<x:sst xmlns:x="http://schemas.openxmlformats.org/spreadsheetml/2006/main">
  <x:si>
    <x:t xml:space="preserve">TP M3-3 — Accès au marché : qui paie ? De la preuve de concept au remboursement</x:t>
  </x:si>
  <x:si>
    <x:t xml:space="preserve">Module 3 — vendredi 16 octobre 2026 — 14:40-16:50, en équipe, à distance.</x:t>
  </x:si>
  <x:si>
    <x:t xml:space="preserve">Les onglets</x:t>
  </x:si>
  <x:si>
    <x:t xml:space="preserve">• « Qui paie » (partie 1, 14:40-15:15) : bénéficie / décide / paie, puis les cinq portes d'entrée et la voie retenue.</x:t>
  </x:si>
  <x:si>
    <x:t xml:space="preserve">• « Frise » (partie 2, 15:30-16:30) : placez les 6 jalons (mois de début et de fin). La barre se dessine toute seule.</x:t>
  </x:si>
  <x:si>
    <x:t xml:space="preserve">• « Votre projet » (partie 3, 16:30-16:50) : la fiche d'une page « votre projet passé au crible ».</x:t>
  </x:si>
  <x:si>
    <x:t xml:space="preserve">Couleurs des cellules</x:t>
  </x:si>
  <x:si>
    <x:t xml:space="preserve">• police bleue sur fond bleu pâle = à remplir (souvent avec une liste déroulante) ;</x:t>
  </x:si>
  <x:si>
    <x:t xml:space="preserve">• fond gris = donné, ne pas modifier ;</x:t>
  </x:si>
  <x:si>
    <x:t xml:space="preserve">• fond blanc, police noire = formule, ne pas écraser ;</x:t>
  </x:si>
  <x:si>
    <x:t xml:space="preserve">• fond jaune = résultat ou message automatique.</x:t>
  </x:si>
  <x:si>
    <x:t xml:space="preserve">Attention</x:t>
  </x:si>
  <x:si>
    <x:t xml:space="preserve">• Les durées de l'onglet Frise sont des ORDRES DE GRANDEUR génériques, à vérifier : ce ne sont les chiffres d'aucune entreprise réelle. Les coûts sont donnés en poids relatif (€ à €€€) : chiffrez avec de vrais devis.</x:t>
  </x:si>
  <x:si>
    <x:t xml:space="preserve">• Faits réglementaires : voir l'énoncé TP_M3_3_Acces_marche.md. Dates à vérifier à date (la réglementation bouge).</x:t>
  </x:si>
  <x:si>
    <x:t xml:space="preserve">• Aucune donnée personnelle dans ce classeur.</x:t>
  </x:si>
  <x:si>
    <x:t xml:space="preserve">Dépôt : enregistrez sous acces_marche_eqNN.xlsx (NN = numéro d'équipe) dans analyses/m3/ du repo de l'équipe.</x:t>
  </x:si>
  <x:si>
    <x:t xml:space="preserve">Partie 1 — Qui paie ? Cartographie des voies d'accès au marché (14:40-15:15)</x:t>
  </x:si>
  <x:si>
    <x:t xml:space="preserve">Remplissez les cellules bleues. Une phrase courte par case. Exemple complet du cas B : voir l'énoncé (étape 2).</x:t>
  </x:si>
  <x:si>
    <x:t xml:space="preserve">Cas d'usage (A à F, ou « A en EHPAD »)</x:t>
  </x:si>
  <x:si>
    <x:t xml:space="preserve">Votre produit en une ligne</x:t>
  </x:si>
  <x:si>
    <x:t xml:space="preserve">Finalité revendiquée (la promesse, une phrase)</x:t>
  </x:si>
  <x:si>
    <x:t xml:space="preserve">Dispositif médical ? (lien avec l'exercice 1)</x:t>
  </x:si>
  <x:si>
    <x:t xml:space="preserve">A. Trois rôles : qui bénéficie, qui décide, qui paie ?</x:t>
  </x:si>
  <x:si>
    <x:t xml:space="preserve">Rôle</x:t>
  </x:si>
  <x:si>
    <x:t xml:space="preserve">Qui ? (pour votre projet)</x:t>
  </x:si>
  <x:si>
    <x:t xml:space="preserve">Pourquoi (une phrase)</x:t>
  </x:si>
  <x:si>
    <x:t xml:space="preserve">Qui bénéficie ?</x:t>
  </x:si>
  <x:si>
    <x:t xml:space="preserve">Qui décide (choisit, prescrit) ?</x:t>
  </x:si>
  <x:si>
    <x:t xml:space="preserve">Qui paie ?</x:t>
  </x:si>
  <x:si>
    <x:t xml:space="preserve">Est-ce la même personne ?</x:t>
  </x:si>
  <x:si>
    <x:t xml:space="preserve">B. Les cinq portes d'entrée : laquelle est réaliste pour vous ?</x:t>
  </x:si>
  <x:si>
    <x:t xml:space="preserve">Porte d'entrée (voie)</x:t>
  </x:si>
  <x:si>
    <x:t xml:space="preserve">Qui paierait, concrètement ?</x:t>
  </x:si>
  <x:si>
    <x:t xml:space="preserve">Possible ?</x:t>
  </x:si>
  <x:si>
    <x:t xml:space="preserve">Preuves que ce payeur demandera</x:t>
  </x:si>
  <x:si>
    <x:t xml:space="preserve">Ce que nous avons déjà</x:t>
  </x:si>
  <x:si>
    <x:t xml:space="preserve">Obstacle principal</x:t>
  </x:si>
  <x:si>
    <x:t xml:space="preserve">Intérêt (1 à 3)</x:t>
  </x:si>
  <x:si>
    <x:t xml:space="preserve">B2C : le patient ou sa famille paie (achat direct)</x:t>
  </x:si>
  <x:si>
    <x:t xml:space="preserve">B2B : un établissement paie (EHPAD, hôpital, service à domicile)</x:t>
  </x:si>
  <x:si>
    <x:t xml:space="preserve">B2B2C : une mutuelle ou un assureur paie pour ses adhérents</x:t>
  </x:si>
  <x:si>
    <x:t xml:space="preserve">Remboursement : télésurveillance en droit commun (liste LATM)</x:t>
  </x:si>
  <x:si>
    <x:t xml:space="preserve">Remboursement anticipé : PECAN (1 an, produit innovant)</x:t>
  </x:si>
  <x:si>
    <x:t xml:space="preserve">Porte la mieux notée (calcul)</x:t>
  </x:si>
  <x:si>
    <x:t xml:space="preserve">Nombre de portes « Oui »</x:t>
  </x:si>
  <x:si>
    <x:t xml:space="preserve">C. Votre choix</x:t>
  </x:si>
  <x:si>
    <x:t xml:space="preserve">Voie principale retenue</x:t>
  </x:si>
  <x:si>
    <x:t xml:space="preserve">Justification (une ou deux phrases)</x:t>
  </x:si>
  <x:si>
    <x:t xml:space="preserve">Effet du décret n° 2026-810 pour vous (2027)</x:t>
  </x:si>
  <x:si>
    <x:t xml:space="preserve">La preuve qui vous manque le plus</x:t>
  </x:si>
  <x:si>
    <x:t xml:space="preserve">Cohérence voie retenue / tableau B</x:t>
  </x:si>
  <x:si>
    <x:t xml:space="preserve">Partie 2 — De la preuve de concept au remboursement : la frise des 6 jalons (15:30-16:30)</x:t>
  </x:si>
  <x:si>
    <x:t xml:space="preserve">Règle : un jalon commence APRÈS la fin des jalons dont il dépend (colonnes C à E). Les autres peuvent se chevaucher : c'est le levier pour gagner du temps. Le jalon 1 est rempli comme exemple.</x:t>
  </x:si>
  <x:si>
    <x:t xml:space="preserve">Année 1</x:t>
  </x:si>
  <x:si>
    <x:t xml:space="preserve">Année 2</x:t>
  </x:si>
  <x:si>
    <x:t xml:space="preserve">Année 3</x:t>
  </x:si>
  <x:si>
    <x:t xml:space="preserve">Année 4</x:t>
  </x:si>
  <x:si>
    <x:t xml:space="preserve">Année 5</x:t>
  </x:si>
  <x:si>
    <x:t xml:space="preserve">N°</x:t>
  </x:si>
  <x:si>
    <x:t xml:space="preserve">Jalon</x:t>
  </x:si>
  <x:si>
    <x:t xml:space="preserve">Dépend de</x:t>
  </x:si>
  <x:si>
    <x:t xml:space="preserve">Durée indicative (à vérifier)</x:t>
  </x:si>
  <x:si>
    <x:t xml:space="preserve">Principaux postes de coût</x:t>
  </x:si>
  <x:si>
    <x:t xml:space="preserve">Poids du coût</x:t>
  </x:si>
  <x:si>
    <x:t xml:space="preserve">Début (mois)</x:t>
  </x:si>
  <x:si>
    <x:t xml:space="preserve">Fin (mois)</x:t>
  </x:si>
  <x:si>
    <x:t xml:space="preserve">Durée (mois)</x:t>
  </x:si>
  <x:si>
    <x:t xml:space="preserve">Contrôle</x:t>
  </x:si>
  <x:si>
    <x:t xml:space="preserve">Chemin critique ?</x:t>
  </x:si>
  <x:si>
    <x:t xml:space="preserve">Preuve de concept : prototype, premiers essais</x:t>
  </x:si>
  <x:si>
    <x:t xml:space="preserve">Quelques mois (3 à 6)</x:t>
  </x:si>
  <x:si>
    <x:t xml:space="preserve">Matériel, temps de l'équipe</x:t>
  </x:si>
  <x:si>
    <x:t xml:space="preserve">€</x:t>
  </x:si>
  <x:si>
    <x:t xml:space="preserve">Stratégie réglementaire : finalité, classe, système qualité (ISO 13485)</x:t>
  </x:si>
  <x:si>
    <x:t xml:space="preserve">Dès le début, en parallèle</x:t>
  </x:si>
  <x:si>
    <x:t xml:space="preserve">Procédures, temps qualité, conseil ; chaque année ensuite</x:t>
  </x:si>
  <x:si>
    <x:t xml:space="preserve">€€ (permanent)</x:t>
  </x:si>
  <x:si>
    <x:t xml:space="preserve">Développement conforme : logiciel (IEC 62304), risques (ISO 14971), utilisation (IEC 62366-1), cybersécurité</x:t>
  </x:si>
  <x:si>
    <x:t xml:space="preserve">1 à 2 ans</x:t>
  </x:si>
  <x:si>
    <x:t xml:space="preserve">Équipe de développement, tests, documentation, cybersécurité</x:t>
  </x:si>
  <x:si>
    <x:t xml:space="preserve">€€€</x:t>
  </x:si>
  <x:si>
    <x:t xml:space="preserve">Preuves cliniques : montrer que ça marche, sur des patients</x:t>
  </x:si>
  <x:si>
    <x:t xml:space="preserve">Souvent plus d'un an</x:t>
  </x:si>
  <x:si>
    <x:t xml:space="preserve">Étude clinique : centres, soignants, patients, analyse</x:t>
  </x:si>
  <x:si>
    <x:t xml:space="preserve">Très variable (€ à €€€)</x:t>
  </x:si>
  <x:si>
    <x:t xml:space="preserve">Marquage CE : vérification par l'organisme notifié</x:t>
  </x:si>
  <x:si>
    <x:t xml:space="preserve">Plusieurs mois (6 à 12)</x:t>
  </x:si>
  <x:si>
    <x:t xml:space="preserve">Audit initial, puis audits de suivi chaque année</x:t>
  </x:si>
  <x:si>
    <x:t xml:space="preserve">€€ (puis chaque année)</x:t>
  </x:si>
  <x:si>
    <x:t xml:space="preserve">Accès au marché : avis HAS, liste LATM ou PECAN (ou vente directe)</x:t>
  </x:si>
  <x:si>
    <x:t xml:space="preserve">Dossier HAS, négociation du prix, ou équipe commerciale</x:t>
  </x:si>
  <x:si>
    <x:t xml:space="preserve">€€</x:t>
  </x:si>
  <x:si>
    <x:t xml:space="preserve">Durée totale jusqu'au remboursement (mois)</x:t>
  </x:si>
  <x:si>
    <x:t xml:space="preserve">… soit en années</x:t>
  </x:si>
  <x:si>
    <x:t xml:space="preserve">Somme des durées si tout était fait l'un après l'autre (mois)</x:t>
  </x:si>
  <x:si>
    <x:t xml:space="preserve">Temps gagné grâce au parallèle (mois)</x:t>
  </x:si>
  <x:si>
    <x:t xml:space="preserve">Nombre de jalons sur le chemin critique</x:t>
  </x:si>
  <x:si>
    <x:t xml:space="preserve">Contrôles « OK »</x:t>
  </x:si>
  <x:si>
    <x:t xml:space="preserve">Vos réponses (questions 5 à 9 de l'énoncé)</x:t>
  </x:si>
  <x:si>
    <x:t xml:space="preserve">Partie 3 — Votre projet passé au crible (16:30-16:50) : la fiche d'une page</x:t>
  </x:si>
  <x:si>
    <x:t xml:space="preserve">Colonne C : votre réponse (listes déroulantes). Colonne D : votre justification, ou un message automatique (fond jaune).</x:t>
  </x:si>
  <x:si>
    <x:t xml:space="preserve">Rubrique</x:t>
  </x:si>
  <x:si>
    <x:t xml:space="preserve">Votre réponse</x:t>
  </x:si>
  <x:si>
    <x:t xml:space="preserve">Justification / message automatique</x:t>
  </x:si>
  <x:si>
    <x:t xml:space="preserve">Équipe</x:t>
  </x:si>
  <x:si>
    <x:t xml:space="preserve">Cas d'usage</x:t>
  </x:si>
  <x:si>
    <x:t xml:space="preserve">Produit en une ligne</x:t>
  </x:si>
  <x:si>
    <x:t xml:space="preserve">Finalité revendiquée (une phrase, la promesse du fabricant)</x:t>
  </x:si>
  <x:si>
    <x:t xml:space="preserve">Bien-être ou dispositif médical ?</x:t>
  </x:si>
  <x:si>
    <x:t xml:space="preserve">Classe probable</x:t>
  </x:si>
  <x:si>
    <x:t xml:space="preserve">3b</x:t>
  </x:si>
  <x:si>
    <x:t xml:space="preserve">Règle de classification utilisée</x:t>
  </x:si>
  <x:si>
    <x:t xml:space="preserve">4a</x:t>
  </x:si>
  <x:si>
    <x:t xml:space="preserve">Norme : ISO 13485 (système qualité)</x:t>
  </x:si>
  <x:si>
    <x:t xml:space="preserve">4b</x:t>
  </x:si>
  <x:si>
    <x:t xml:space="preserve">Norme : ISO 14971 (gestion des risques)</x:t>
  </x:si>
  <x:si>
    <x:t xml:space="preserve">4c</x:t>
  </x:si>
  <x:si>
    <x:t xml:space="preserve">Norme : IEC 62304 (logiciel médical)</x:t>
  </x:si>
  <x:si>
    <x:t xml:space="preserve">4d</x:t>
  </x:si>
  <x:si>
    <x:t xml:space="preserve">Norme : IEC 62366-1 (facilité d'usage)</x:t>
  </x:si>
  <x:si>
    <x:t xml:space="preserve">4e</x:t>
  </x:si>
  <x:si>
    <x:t xml:space="preserve">Norme : Cybersécurité : IEC 81001-5-1, guide MDCG 2019-16</x:t>
  </x:si>
  <x:si>
    <x:t xml:space="preserve">IA dans le produit ?</x:t>
  </x:si>
  <x:si>
    <x:t xml:space="preserve">5b</x:t>
  </x:si>
  <x:si>
    <x:t xml:space="preserve">Justification IA</x:t>
  </x:si>
  <x:si>
    <x:t xml:space="preserve">CRA (cybersécurité des objets connectés, si bien-être)</x:t>
  </x:si>
  <x:si>
    <x:t xml:space="preserve">Données : RGPD</x:t>
  </x:si>
  <x:si>
    <x:t xml:space="preserve">Oui : données de santé = données « sensibles » (article 9)</x:t>
  </x:si>
  <x:si>
    <x:t xml:space="preserve">7b</x:t>
  </x:si>
  <x:si>
    <x:t xml:space="preserve">Données stockées chez un tiers (serveur, cloud) ?</x:t>
  </x:si>
  <x:si>
    <x:t xml:space="preserve">Voie d'accès principale</x:t>
  </x:si>
  <x:si>
    <x:t xml:space="preserve">8b</x:t>
  </x:si>
  <x:si>
    <x:t xml:space="preserve">Payeur (qui sort l'argent ?)</x:t>
  </x:si>
  <x:si>
    <x:t xml:space="preserve">9a</x:t>
  </x:si>
  <x:si>
    <x:t xml:space="preserve">Risque principal n° 1 (lien avec l'exercice 2)</x:t>
  </x:si>
  <x:si>
    <x:t xml:space="preserve">9b</x:t>
  </x:si>
  <x:si>
    <x:t xml:space="preserve">Risque principal n° 2 (lien avec l'exercice 2)</x:t>
  </x:si>
  <x:si>
    <x:t xml:space="preserve">9c</x:t>
  </x:si>
  <x:si>
    <x:t xml:space="preserve">Risque principal n° 3 (lien avec l'exercice 2)</x:t>
  </x:si>
  <x:si>
    <x:t xml:space="preserve">Prochaine étape pour le Projet 1 (30 octobre)</x:t>
  </x:si>
  <x:si>
    <x:t xml:space="preserve">Fiche complète ?</x:t>
  </x:si>
  <x:si>
    <x:t xml:space="preserve">Règle 11 (logiciel)</x:t>
  </x:si>
  <x:si>
    <x:t xml:space="preserve">Règle 10 (appareil de mesure)</x:t>
  </x:si>
  <x:si>
    <x:t xml:space="preserve">Règle 12 (administre un médicament)</x:t>
  </x:si>
  <x:si>
    <x:t xml:space="preserve">Règle 13 (autre appareil actif)</x:t>
  </x:si>
  <x:si>
    <x:t xml:space="preserve">Autre (préciser)</x:t>
  </x:si>
  <x:si>
    <x:t xml:space="preserve">—</x:t>
  </x:si>
</x:sst>
</file>

<file path=xl/styles.xml><?xml version="1.0" encoding="utf-8"?>
<x:styleSheet xmlns:x="http://schemas.openxmlformats.org/spreadsheetml/2006/main">
  <x:fonts count="10">
    <x:font>
      <x:sz val="11"/>
      <x:color theme="1"/>
      <x:name val="Calibri"/>
      <x:family val="2"/>
      <x:scheme val="minor"/>
    </x:font>
    <x:font>
      <x:b/>
      <x:sz val="14"/>
      <x:name val="Calibri"/>
    </x:font>
    <x:font>
      <x:b/>
      <x:sz val="11"/>
      <x:color rgb="FF2A78D6"/>
      <x:name val="Calibri"/>
    </x:font>
    <x:font>
      <x:b/>
      <x:sz val="11"/>
      <x:name val="Calibri"/>
    </x:font>
    <x:font>
      <x:sz val="11"/>
      <x:color rgb="FF1F4E9A"/>
      <x:name val="Calibri"/>
    </x:font>
    <x:font>
      <x:b/>
      <x:sz val="12"/>
      <x:color rgb="FF2A78D6"/>
      <x:name val="Calibri"/>
    </x:font>
    <x:font>
      <x:b/>
      <x:sz val="11"/>
      <x:color rgb="FFFFFFFF"/>
      <x:name val="Calibri"/>
    </x:font>
    <x:font>
      <x:sz val="7"/>
      <x:color rgb="FF52514E"/>
      <x:name val="Calibri"/>
    </x:font>
    <x:font>
      <x:b/>
      <x:sz val="11"/>
      <x:color rgb="FF52514E"/>
      <x:name val="Calibri"/>
    </x:font>
    <x:font>
      <x:sz val="11"/>
      <x:name val="Calibri"/>
    </x:font>
  </x:fonts>
  <x:fills count="6">
    <x:fill>
      <x:patternFill patternType="none"/>
    </x:fill>
    <x:fill>
      <x:patternFill patternType="gray125"/>
    </x:fill>
    <x:fill>
      <x:patternFill patternType="solid">
        <x:fgColor rgb="FFF1F1EE"/>
      </x:patternFill>
    </x:fill>
    <x:fill>
      <x:patternFill patternType="solid">
        <x:fgColor rgb="FFE3EEFB"/>
      </x:patternFill>
    </x:fill>
    <x:fill>
      <x:patternFill patternType="solid">
        <x:fgColor rgb="FF2A78D6"/>
      </x:patternFill>
    </x:fill>
    <x:fill>
      <x:patternFill patternType="solid">
        <x:fgColor rgb="FFFFF2CC"/>
      </x:patternFill>
    </x:fill>
  </x:fills>
  <x:borders count="5">
    <x:border>
      <x:left/>
      <x:right/>
      <x:top/>
      <x:bottom/>
      <x:diagonal/>
    </x:border>
    <x:border>
      <x:left style="thin">
        <x:color rgb="FFC9C8C2"/>
      </x:left>
      <x:right style="thin">
        <x:color rgb="FFC9C8C2"/>
      </x:right>
      <x:top style="thin">
        <x:color rgb="FFC9C8C2"/>
      </x:top>
      <x:bottom style="thin">
        <x:color rgb="FFC9C8C2"/>
      </x:bottom>
      <x:diagonal/>
    </x:border>
    <x:border>
      <x:left/>
      <x:right style="thin">
        <x:color rgb="FFC9C8C2"/>
      </x:right>
      <x:top style="thin">
        <x:color rgb="FFC9C8C2"/>
      </x:top>
      <x:bottom style="thin">
        <x:color rgb="FFC9C8C2"/>
      </x:bottom>
      <x:diagonal/>
    </x:border>
    <x:border>
      <x:left/>
      <x:right/>
      <x:top style="thin">
        <x:color rgb="FFC9C8C2"/>
      </x:top>
      <x:bottom style="thin">
        <x:color rgb="FFC9C8C2"/>
      </x:bottom>
      <x:diagonal/>
    </x:border>
    <x:border>
      <x:left style="hair">
        <x:color rgb="FFE6E5E0"/>
      </x:left>
      <x:right/>
      <x:top/>
      <x:bottom style="hair">
        <x:color rgb="FFE6E5E0"/>
      </x:bottom>
      <x:diagonal/>
    </x:border>
  </x:borders>
  <x:cellStyleXfs count="1">
    <x:xf numFmtId="0" fontId="0" fillId="0" borderId="0"/>
  </x:cellStyleXfs>
  <x:cellXfs count="33">
    <x:xf numFmtId="0" fontId="0" fillId="0" borderId="0" xfId="0"/>
    <x:xf numFmtId="0" fontId="1" fillId="0" borderId="0" xfId="0" applyFont="1" applyAlignment="1">
      <x:alignment wrapText="1"/>
    </x:xf>
    <x:xf numFmtId="0" fontId="0" fillId="0" borderId="0" xfId="0" applyAlignment="1">
      <x:alignment wrapText="1"/>
    </x:xf>
    <x:xf numFmtId="0" fontId="2" fillId="0" borderId="0" xfId="0" applyFont="1" applyAlignment="1">
      <x:alignment wrapText="1"/>
    </x:xf>
    <x:xf numFmtId="0" fontId="1" fillId="0" borderId="0" xfId="0" applyFont="1"/>
    <x:xf numFmtId="0" fontId="3" fillId="2" borderId="1" xfId="0" applyFont="1" applyFill="1" applyBorder="1" applyAlignment="1">
      <x:alignment vertical="top" wrapText="1"/>
    </x:xf>
    <x:xf numFmtId="0" fontId="4" fillId="3" borderId="1" xfId="0" applyFont="1" applyFill="1" applyBorder="1" applyAlignment="1">
      <x:alignment vertical="top" wrapText="1"/>
    </x:xf>
    <x:xf numFmtId="0" fontId="5" fillId="0" borderId="0" xfId="0" applyFont="1"/>
    <x:xf numFmtId="0" fontId="6" fillId="4" borderId="1" xfId="0" applyFont="1" applyFill="1" applyBorder="1" applyAlignment="1">
      <x:alignment horizontal="center" vertical="center" wrapText="1"/>
    </x:xf>
    <x:xf numFmtId="0" fontId="4" fillId="3" borderId="1" xfId="0" applyFont="1" applyFill="1" applyBorder="1" applyAlignment="1">
      <x:alignment horizontal="center" vertical="center" wrapText="1"/>
    </x:xf>
    <x:xf numFmtId="0" fontId="3" fillId="5" borderId="1" xfId="0" applyFont="1" applyFill="1" applyBorder="1" applyAlignment="1">
      <x:alignment vertical="top" wrapText="1"/>
    </x:xf>
    <x:xf numFmtId="0" fontId="8" fillId="0" borderId="0" xfId="0" applyFont="1"/>
    <x:xf numFmtId="0" fontId="6" fillId="4" borderId="0" xfId="0" applyFont="1" applyFill="1"/>
    <x:xf numFmtId="0" fontId="7" fillId="0" borderId="0" xfId="0" applyFont="1" applyAlignment="1">
      <x:alignment horizontal="center"/>
    </x:xf>
    <x:xf numFmtId="0" fontId="0" fillId="0" borderId="1" xfId="0" applyBorder="1"/>
    <x:xf numFmtId="0" fontId="0" fillId="2" borderId="1" xfId="0" applyFill="1" applyBorder="1" applyAlignment="1">
      <x:alignment vertical="top" wrapText="1"/>
    </x:xf>
    <x:xf numFmtId="0" fontId="0" fillId="2" borderId="1" xfId="0" applyFill="1" applyBorder="1" applyAlignment="1">
      <x:alignment horizontal="center" vertical="center" wrapText="1"/>
    </x:xf>
    <x:xf numFmtId="0" fontId="9" fillId="0" borderId="1" xfId="0" applyFont="1" applyBorder="1" applyAlignment="1">
      <x:alignment horizontal="center" vertical="center" wrapText="1"/>
    </x:xf>
    <x:xf numFmtId="0" fontId="9" fillId="0" borderId="1" xfId="0" applyFont="1" applyBorder="1" applyAlignment="1">
      <x:alignment vertical="top" wrapText="1"/>
    </x:xf>
    <x:xf numFmtId="0" fontId="0" fillId="0" borderId="4" xfId="0" applyBorder="1"/>
    <x:xf numFmtId="0" fontId="0" fillId="0" borderId="1" xfId="0" applyBorder="1" applyAlignment="1">
      <x:alignment horizontal="center" vertical="center" wrapText="1"/>
    </x:xf>
    <x:xf numFmtId="0" fontId="3" fillId="5" borderId="1" xfId="0" applyFont="1" applyFill="1" applyBorder="1" applyAlignment="1">
      <x:alignment vertical="top" wrapText="1"/>
    </x:xf>
    <x:xf numFmtId="0" fontId="4" fillId="3" borderId="1" xfId="0" applyFont="1" applyFill="1" applyBorder="1" applyAlignment="1">
      <x:alignment vertical="top" wrapText="1"/>
    </x:xf>
    <x:xf numFmtId="0" fontId="6" fillId="4" borderId="1" xfId="0" applyFont="1" applyFill="1" applyBorder="1" applyAlignment="1">
      <x:alignment horizontal="center" vertical="center" wrapText="1"/>
    </x:xf>
    <x:xf numFmtId="0" fontId="0" fillId="0" borderId="0" xfId="0" applyAlignment="1"/>
    <x:xf numFmtId="0" fontId="0" fillId="0" borderId="2" xfId="0" applyBorder="1" applyAlignment="1"/>
    <x:xf numFmtId="0" fontId="0" fillId="0" borderId="3" xfId="0" applyBorder="1" applyAlignment="1"/>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9" fillId="0"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0" fillId="2" borderId="1" xfId="0" applyNumberFormat="1" applyFont="1" applyFill="1" applyBorder="1" applyAlignment="1">
      <x:alignment vertical="top" wrapText="1"/>
    </x:xf>
  </x:cellXfs>
  <x:cellStyles count="1">
    <x:cellStyle name="Normal" xfId="0"/>
  </x:cellStyles>
  <x:dxfs count="3">
    <x:dxf>
      <x:font>
        <x:b/>
        <x:color rgb="FFB4441C"/>
      </x:font>
      <x:fill>
        <x:patternFill>
          <x:bgColor rgb="FFFDE8DE"/>
        </x:patternFill>
      </x:fill>
    </x:dxf>
    <x:dxf>
      <x:fill>
        <x:patternFill>
          <x:bgColor rgb="FF2A78D6"/>
        </x:patternFill>
      </x:fill>
    </x:dxf>
    <x:dxf>
      <x:fill>
        <x:patternFill>
          <x:bgColor rgb="FFEB683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827c2094c44dbf" /><Relationship Type="http://schemas.openxmlformats.org/officeDocument/2006/relationships/theme" Target="/xl/theme/theme1.xml" Id="R38181fa2510e4531" /><Relationship Type="http://schemas.openxmlformats.org/officeDocument/2006/relationships/sharedStrings" Target="/xl/sharedStrings.xml" Id="Ra935703d9ea54b68" /><Relationship Type="http://schemas.openxmlformats.org/officeDocument/2006/relationships/worksheet" Target="/xl/worksheets/sheet1.xml" Id="R77793c3deabf403b" /><Relationship Type="http://schemas.openxmlformats.org/officeDocument/2006/relationships/worksheet" Target="/xl/worksheets/sheet2.xml" Id="R6bfe58645dc24d80" /><Relationship Type="http://schemas.openxmlformats.org/officeDocument/2006/relationships/worksheet" Target="/xl/worksheets/sheet3.xml" Id="R8842f17fb55f4d8a" /><Relationship Type="http://schemas.openxmlformats.org/officeDocument/2006/relationships/worksheet" Target="/xl/worksheets/sheet4.xml" Id="Rd25dc938da0f4f85" /><Relationship Type="http://schemas.openxmlformats.org/officeDocument/2006/relationships/worksheet" Target="/xl/worksheets/sheet5.xml" Id="R26e8870e76314be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2" max="2" width="110" customWidth="1"/>
  </x:cols>
  <x:sheetData>
    <x:row r="1">
      <x:c r="B1" s="1" t="s">
        <x:v>0</x:v>
      </x:c>
    </x:row>
    <x:row r="2">
      <x:c r="B2" s="2" t="s">
        <x:v>1</x:v>
      </x:c>
    </x:row>
    <x:row r="3">
      <x:c r="B3" s="2"/>
    </x:row>
    <x:row r="4">
      <x:c r="B4" s="3" t="s">
        <x:v>2</x:v>
      </x:c>
    </x:row>
    <x:row r="5">
      <x:c r="B5" s="2" t="s">
        <x:v>3</x:v>
      </x:c>
    </x:row>
    <x:row r="6">
      <x:c r="B6" s="2" t="s">
        <x:v>4</x:v>
      </x:c>
    </x:row>
    <x:row r="7">
      <x:c r="B7" s="2" t="s">
        <x:v>5</x:v>
      </x:c>
    </x:row>
    <x:row r="8">
      <x:c r="B8" s="2"/>
    </x:row>
    <x:row r="9">
      <x:c r="B9" s="3" t="s">
        <x:v>6</x:v>
      </x:c>
    </x:row>
    <x:row r="10">
      <x:c r="B10" s="2" t="s">
        <x:v>7</x:v>
      </x:c>
    </x:row>
    <x:row r="11">
      <x:c r="B11" s="2" t="s">
        <x:v>8</x:v>
      </x:c>
    </x:row>
    <x:row r="12">
      <x:c r="B12" s="2" t="s">
        <x:v>9</x:v>
      </x:c>
    </x:row>
    <x:row r="13">
      <x:c r="B13" s="2" t="s">
        <x:v>10</x:v>
      </x:c>
    </x:row>
    <x:row r="14">
      <x:c r="B14" s="2"/>
    </x:row>
    <x:row r="15">
      <x:c r="B15" s="3" t="s">
        <x:v>11</x:v>
      </x:c>
    </x:row>
    <x:row r="16">
      <x:c r="B16" s="2" t="s">
        <x:v>12</x:v>
      </x:c>
    </x:row>
    <x:row r="17">
      <x:c r="B17" s="2" t="s">
        <x:v>13</x:v>
      </x:c>
    </x:row>
    <x:row r="18">
      <x:c r="B18" s="2" t="s">
        <x:v>14</x:v>
      </x:c>
    </x:row>
    <x:row r="19">
      <x:c r="B19" s="2"/>
    </x:row>
    <x:row r="20">
      <x:c r="B20" s="2" t="s">
        <x:v>15</x:v>
      </x:c>
    </x:row>
    <x:row r="22" ht="55" customHeight="1">
      <x:c r="B22" s="29" t="str">
        <x:v>Choix confirmé le 19 octobre 2026 — Équipe 02, cas G : hypothèse 2, dispositif médical. Deux fonctions prévues : suivi physiologique et estimation personnalisée du risque cardiovasculaire. Performances à valider ; durées de la frise pédagogiques.</x:v>
      </x:c>
    </x:row>
    <x:row r="23" ht="55" customHeight="1">
      <x:c r="B23" s="29" t="str">
        <x:v>Q1. Hypothèse grand public : l’utilisateur profite, choisit et paie la souris. Mettre en avant l’usage quotidien, le confort, la fiabilité, le prix et la maîtrise des données. Le médecin peut recevoir des informations si l’utilisateur le souhaite.</x:v>
      </x:c>
    </x:row>
    <x:row r="24" ht="55" customHeight="1">
      <x:c r="B24" s="29" t="str">
        <x:v>Q2 — Hypothèse 1 non retenue : observer ses habitudes et organiser des pauses, sans évaluer un risque de maladie. Hors DM si les fonctions et communications restent non médicales : pas de CE médical, autres obligations du produit connecté à examiner. Rappels non implémentés dans R3.</x:v>
      </x:c>
    </x:row>
    <x:row r="25" ht="55" customHeight="1">
      <x:c r="B25" s="29" t="str">
        <x:v>Q2 — Version médicale retenue : Suivre les indicateurs physiologiques et leurs tendances pendant l’utilisation de l’ordinateur, et estimer un risque personnalisé de complications cardiovasculaires en lien avec le stress et la sédentarité, afin d’informer la prévention et de permettre un partage choisi avec un professionnel de santé. IIa est retenue comme hypothèse pour un score informatif de prévention. La classe dépend des conséquences des décisions ; aucune certification acquise.</x:v>
      </x:c>
    </x:row>
    <x:row r="26" ht="55" customHeight="1">
      <x:c r="B26" s="29" t="str">
        <x:v>Q3/Q4. B2C prioritaire (note 3), mutuelle secondaire (note 2), achat collectif exploratoire (note 1). LATM non établi, PECAN seulement si admissible. Les preuves manquantes concernent la finalité médicale, l’usage quotidien et le prix acceptable.</x:v>
      </x:c>
    </x:row>
    <x:row r="27" ht="55" customHeight="1">
      <x:c r="B27" s="29" t="str">
        <x:v>Analogie retenue : comme une Apple Watch, objet acheté par son utilisateur pour le suivi personnel. Certaines fonctions de la montre ont une destination médicale propre. La souris prévoit tendances ET score personnalisé, sans ECG. L’analogie ne prouve ni ses performances ni sa classe.</x:v>
      </x:c>
    </x:row>
    <x:row r="28" ht="55" customHeight="1">
      <x:c r="B28" s="29" t="str">
        <x:v>Étude souris et stress : https://pmc.ncbi.nlm.nih.gov/articles/PMC9855736/</x:v>
      </x:c>
    </x:row>
    <x:row r="29" ht="55" customHeight="1">
      <x:c r="B29" s="29" t="str">
        <x:v>Fitbit, combinaison EDA/pouls/température : https://blog.google/products-and-platforms/devices/fitbit/how-we-trained-fitbits-body-response-feature-to-detect-stress/</x:v>
      </x:c>
    </x:row>
    <x:row r="30" ht="55" customHeight="1">
      <x:c r="B30" s="29" t="str">
        <x:v>Apple, fonction ECG et limites : https://support.apple.com/fr-fr/120278</x:v>
      </x:c>
    </x:row>
    <x:row r="31" ht="55" customHeight="1">
      <x:c r="B31" s="29" t="str">
        <x:v>Stress et santé cardiovasculaire : https://www.heart.org/en/healthy-living/healthy-lifestyle/stress-management/stress-and-heart-health</x:v>
      </x:c>
    </x:row>
    <x:row r="32" ht="55" customHeight="1">
      <x:c r="B32" s="29" t="str">
        <x:v>MDR, article 2 et annexe VIII, règle 11 : https://eur-lex.europa.eu/eli/reg/2017/745/oj/fra</x:v>
      </x:c>
    </x:row>
    <x:row r="33" ht="55" customHeight="1">
      <x:c r="B33" s="29" t="str">
        <x:v>HAS, voies de remboursement et PECAN : https://www.has-sante.fr/jcms/c_928541/fr/comprendre-l-evaluation-des-dispositifs-medicaux</x:v>
      </x:c>
    </x:row>
    <x:row r="34" ht="55" customHeight="1">
      <x:c r="B34" s="29" t="str">
        <x:v>Décret 2026-810, taux : https://www.legifrance.gouv.fr/jorf/article_jo/JORFARTI000054733597 ; entrée en vigueur : https://www.legifrance.gouv.fr/jorf/article_jo/JORFARTI000054733599</x:v>
      </x:c>
    </x:row>
    <x:row r="35" ht="55" customHeight="1">
      <x:c r="B35" s="29" t="str">
        <x:v>ANS, champ HDS : https://esante.gouv.fr/faq/quel-est-le-champ-dapplication-de-la-legislation-relative-lhebergement-de-donnees-de-sante-caractere-personnel</x:v>
      </x:c>
    </x:row>
    <x:row r="36" ht="55" customHeight="1">
      <x:c r="B36" s="29" t="str">
        <x:v>CNIL, données médicales et employeur : https://www.cnil.fr/fr/cnil-direct/question/donnees-sur-la-sante-un-employeur-peut-il-les-connaitre</x:v>
      </x:c>
    </x:row>
    <x:row r="37" ht="55" customHeight="1">
      <x:c r="B37" s="29" t="str">
        <x:v>Comparatifs et références consultés le 19 octobre 2026. Sources projet : finalite.json, classification M3-1 et risques M3-2 réalignés. Aucun prix de vente, client ou remboursement acquis n’est inventé.</x:v>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3" topLeftCell="C4" activePane="bottomRight" state="frozen"/>
    </x:sheetView>
  </x:sheetViews>
  <x:sheetFormatPr defaultRowHeight="15"/>
  <x:cols>
    <x:col min="1" max="1" width="2" customWidth="1"/>
    <x:col min="2" max="2" width="34" customWidth="1"/>
    <x:col min="3" max="3" width="40" customWidth="1"/>
    <x:col min="4" max="4" width="16" customWidth="1"/>
    <x:col min="5" max="5" width="46" customWidth="1"/>
    <x:col min="6" max="6" width="34" customWidth="1"/>
    <x:col min="7" max="7" width="38" customWidth="1"/>
    <x:col min="8" max="8" width="12" customWidth="1"/>
  </x:cols>
  <x:sheetData>
    <x:row r="1">
      <x:c r="B1" s="4" t="s">
        <x:v>16</x:v>
      </x:c>
    </x:row>
    <x:row r="2">
      <x:c r="B2" t="s">
        <x:v>17</x:v>
      </x:c>
    </x:row>
    <x:row r="4">
      <x:c r="B4" s="5" t="s">
        <x:v>18</x:v>
      </x:c>
      <x:c r="C4" s="22" t="str">
        <x:v>G</x:v>
      </x:c>
      <x:c r="D4" s="24"/>
      <x:c r="E4" s="24"/>
      <x:c r="F4" s="24"/>
      <x:c r="G4" s="24"/>
    </x:row>
    <x:row r="5" ht="55" customHeight="1">
      <x:c r="B5" s="5" t="s">
        <x:v>19</x:v>
      </x:c>
      <x:c r="C5" s="22" t="str">
        <x:v>Souris ergonomique 1 500 mAh : pouls/PPG, GSR, température cutanée et mouvement, application sur PC.</x:v>
      </x:c>
      <x:c r="D5" s="24"/>
      <x:c r="E5" s="24"/>
      <x:c r="F5" s="24"/>
      <x:c r="G5" s="24"/>
    </x:row>
    <x:row r="6" ht="65" customHeight="1">
      <x:c r="B6" s="5" t="s">
        <x:v>20</x:v>
      </x:c>
      <x:c r="C6" s="22" t="str">
        <x:v>Suivre les indicateurs physiologiques et leurs tendances pendant l’utilisation de l’ordinateur, et estimer un risque personnalisé de complications cardiovasculaires en lien avec le stress et la sédentarité, afin d’informer la prévention et de permettre un partage choisi avec un professionnel de santé.</x:v>
      </x:c>
      <x:c r="D6" s="24"/>
      <x:c r="E6" s="24"/>
      <x:c r="F6" s="24"/>
      <x:c r="G6" s="24"/>
    </x:row>
    <x:row r="7">
      <x:c r="B7" s="5" t="s">
        <x:v>21</x:v>
      </x:c>
      <x:c r="C7" s="22" t="str">
        <x:v>Dispositif médical</x:v>
      </x:c>
      <x:c r="D7" s="24"/>
      <x:c r="E7" s="24"/>
      <x:c r="F7" s="24"/>
      <x:c r="G7" s="24"/>
    </x:row>
    <x:row r="9">
      <x:c r="B9" s="7" t="s">
        <x:v>22</x:v>
      </x:c>
    </x:row>
    <x:row r="10">
      <x:c r="B10" s="8" t="s">
        <x:v>23</x:v>
      </x:c>
      <x:c r="C10" s="23" t="s">
        <x:v>24</x:v>
      </x:c>
      <x:c r="D10" s="25"/>
      <x:c r="E10" s="23" t="s">
        <x:v>25</x:v>
      </x:c>
      <x:c r="F10" s="26"/>
      <x:c r="G10" s="25"/>
    </x:row>
    <x:row r="11" ht="55" customHeight="1">
      <x:c r="B11" s="5" t="s">
        <x:v>26</x:v>
      </x:c>
      <x:c r="C11" s="22" t="str">
        <x:v>Adulte utilisant régulièrement un ordinateur</x:v>
      </x:c>
      <x:c r="D11" s="24"/>
      <x:c r="E11" s="22" t="str">
        <x:v>Usage personnel quotidien, comparable au positionnement d’une montre connectée. Deux fonctions : suivi des indicateurs et tendances, ET estimation du risque cardiovasculaire personnalisé.</x:v>
      </x:c>
      <x:c r="F11" s="24"/>
      <x:c r="G11" s="24"/>
    </x:row>
    <x:row r="12" ht="55" customHeight="1">
      <x:c r="B12" s="5" t="s">
        <x:v>27</x:v>
      </x:c>
      <x:c r="C12" s="22" t="str">
        <x:v>L’utilisateur qui choisit sa souris</x:v>
      </x:c>
      <x:c r="D12" s="24"/>
      <x:c r="E12" s="22" t="str">
        <x:v>Il décide de l’achat selon l’utilité perçue, le confort, la simplicité et le prix. Le médecin intervient pour l’interprétation médicale, pas pour l’achat.</x:v>
      </x:c>
      <x:c r="F12" s="24"/>
      <x:c r="G12" s="24"/>
    </x:row>
    <x:row r="13" ht="55" customHeight="1">
      <x:c r="B13" s="5" t="s">
        <x:v>28</x:v>
      </x:c>
      <x:c r="C13" s="22" t="str">
        <x:v>L’utilisateur, sur son budget personnel</x:v>
      </x:c>
      <x:c r="D13" s="24"/>
      <x:c r="E13" s="22" t="str">
        <x:v>Hypothèse B2C retenue pour le TP : achat individuel, sans remboursement attendu au départ.</x:v>
      </x:c>
      <x:c r="F13" s="24"/>
      <x:c r="G13" s="24"/>
    </x:row>
    <x:row r="14" ht="55" customHeight="1">
      <x:c r="B14" s="5" t="s">
        <x:v>29</x:v>
      </x:c>
      <x:c r="C14" s="22" t="str">
        <x:v>Oui</x:v>
      </x:c>
      <x:c r="D14" s="24"/>
      <x:c r="E14" s="22" t="str">
        <x:v>Dans l’hypothèse B2C, la même personne utilise, choisit et paie. Présenter le bénéfice quotidien, les limites, le prix et la maîtrise des données.</x:v>
      </x:c>
      <x:c r="F14" s="24"/>
      <x:c r="G14" s="24"/>
    </x:row>
    <x:row r="16">
      <x:c r="B16" s="7" t="s">
        <x:v>30</x:v>
      </x:c>
    </x:row>
    <x:row r="17">
      <x:c r="B17" s="8" t="s">
        <x:v>31</x:v>
      </x:c>
      <x:c r="C17" s="8" t="s">
        <x:v>32</x:v>
      </x:c>
      <x:c r="D17" s="8" t="s">
        <x:v>33</x:v>
      </x:c>
      <x:c r="E17" s="8" t="s">
        <x:v>34</x:v>
      </x:c>
      <x:c r="F17" s="8" t="s">
        <x:v>35</x:v>
      </x:c>
      <x:c r="G17" s="8" t="s">
        <x:v>36</x:v>
      </x:c>
      <x:c r="H17" s="8" t="s">
        <x:v>37</x:v>
      </x:c>
    </x:row>
    <x:row r="18" ht="125" customHeight="1">
      <x:c r="B18" s="5" t="s">
        <x:v>38</x:v>
      </x:c>
      <x:c r="C18" s="27" t="str">
        <x:v>Utilisateur, sur son budget personnel</x:v>
      </x:c>
      <x:c r="D18" s="28" t="str">
        <x:v>Oui</x:v>
      </x:c>
      <x:c r="E18" s="27" t="str">
        <x:v>Utilité au quotidien, fiabilité, confort, simplicité, confidentialité, prix et conformité médicale</x:v>
      </x:c>
      <x:c r="F18" s="27" t="str">
        <x:v>Conception, choix des capteurs, firmware, tests logiciels et autonomie théorique ; aucune validation clinique ou matérielle de l’ensemble.</x:v>
      </x:c>
      <x:c r="G18" s="27" t="str">
        <x:v>Différenciation face aux montres ; utilité et prix acceptable à tester</x:v>
      </x:c>
      <x:c r="H18" s="9" t="n">
        <x:v>3</x:v>
      </x:c>
    </x:row>
    <x:row r="19" ht="125" customHeight="1">
      <x:c r="B19" s="5" t="s">
        <x:v>39</x:v>
      </x:c>
      <x:c r="C19" s="27" t="str">
        <x:v>Entreprise ou service de prévention et de santé au travail</x:v>
      </x:c>
      <x:c r="D19" s="28" t="str">
        <x:v>Peut-être</x:v>
      </x:c>
      <x:c r="E19" s="27" t="str">
        <x:v>Acceptabilité, utilité collective, mesures fiables, confidentialité et coût</x:v>
      </x:c>
      <x:c r="F19" s="27" t="str">
        <x:v>Conception, choix des capteurs, firmware, tests logiciels et autonomie théorique ; aucune validation clinique ou matérielle de l’ensemble.</x:v>
      </x:c>
      <x:c r="G19" s="27" t="str">
        <x:v>Voie secondaire : achat collectif à étudier, sans accès automatique de l’employeur aux données</x:v>
      </x:c>
      <x:c r="H19" s="9" t="n">
        <x:v>1</x:v>
      </x:c>
    </x:row>
    <x:row r="20" ht="125" customHeight="1">
      <x:c r="B20" s="5" t="s">
        <x:v>40</x:v>
      </x:c>
      <x:c r="C20" s="27" t="str">
        <x:v>Mutuelle pour ses adhérents</x:v>
      </x:c>
      <x:c r="D20" s="28" t="str">
        <x:v>Peut-être</x:v>
      </x:c>
      <x:c r="E20" s="27" t="str">
        <x:v>Usage durable, bénéfice sanitaire et évaluation économique</x:v>
      </x:c>
      <x:c r="F20" s="27" t="str">
        <x:v>Conception, choix des capteurs, firmware, tests logiciels et autonomie théorique ; aucune validation clinique ou matérielle de l’ensemble.</x:v>
      </x:c>
      <x:c r="G20" s="27" t="str">
        <x:v>Pas de bénéfice ni d’économies démontrés</x:v>
      </x:c>
      <x:c r="H20" s="9" t="n">
        <x:v>2</x:v>
      </x:c>
    </x:row>
    <x:row r="21" ht="125" customHeight="1">
      <x:c r="B21" s="5" t="s">
        <x:v>41</x:v>
      </x:c>
      <x:c r="C21" s="27" t="str">
        <x:v>Assurance maladie si activité admissible inscrite</x:v>
      </x:c>
      <x:c r="D21" s="28" t="str">
        <x:v>Non</x:v>
      </x:c>
      <x:c r="E21" s="27" t="str">
        <x:v>Indication et organisation de télésurveillance, conformité et preuves pertinentes</x:v>
      </x:c>
      <x:c r="F21" s="27" t="str">
        <x:v>Conception, choix des capteurs, firmware, tests logiciels et autonomie théorique ; aucune validation clinique ou matérielle de l’ensemble.</x:v>
      </x:c>
      <x:c r="G21" s="27" t="str">
        <x:v>Pas de parcours admissible établi ; suivi du stress ≠ ligne cardiaque automatiquement applicable</x:v>
      </x:c>
      <x:c r="H21" s="9" t="n">
        <x:v>1</x:v>
      </x:c>
    </x:row>
    <x:row r="22" ht="125" customHeight="1">
      <x:c r="B22" s="5" t="s">
        <x:v>42</x:v>
      </x:c>
      <x:c r="C22" s="27" t="str">
        <x:v>Assurance maladie si critères PECAN satisfaits</x:v>
      </x:c>
      <x:c r="D22" s="28" t="str">
        <x:v>Peut-être</x:v>
      </x:c>
      <x:c r="E22" s="27" t="str">
        <x:v>DM numérique thérapeutique ou de télésurveillance admissible, CE, innovation et premières preuves</x:v>
      </x:c>
      <x:c r="F22" s="27" t="str">
        <x:v>Conception, choix des capteurs, firmware, tests logiciels et autonomie théorique ; aucune validation clinique ou matérielle de l’ensemble.</x:v>
      </x:c>
      <x:c r="G22" s="27" t="str">
        <x:v>Éligibilité non établie ; un outil d’évaluation seul ne suffit pas</x:v>
      </x:c>
      <x:c r="H22" s="9" t="n">
        <x:v>1</x:v>
      </x:c>
    </x:row>
    <x:row r="23">
      <x:c r="B23" s="5" t="s">
        <x:v>43</x:v>
      </x:c>
      <x:c r="C23" s="21" t="str">
        <x:f>IF(COUNT(H18:H22)=0,"Notez l'intérêt de 1 à 3 en colonne H",INDEX(B18:B22,MATCH(MAX(H18:H22),H18:H22,0)))</x:f>
        <x:v>B2C : le patient ou sa famille paie (achat direct)</x:v>
      </x:c>
      <x:c r="D23" s="24"/>
      <x:c r="E23" s="24"/>
      <x:c r="F23" s="24"/>
      <x:c r="G23" s="24"/>
    </x:row>
    <x:row r="24">
      <x:c r="B24" s="5" t="s">
        <x:v>44</x:v>
      </x:c>
      <x:c r="C24" s="10" t="n">
        <x:f>COUNTIF(D18:D22,"Oui")</x:f>
        <x:v>1</x:v>
      </x:c>
      <x:c r="D24" s="21" t="str">
        <x:f>IF(C24=0,"Aucune porte sûre : qui paiera ? C'est le risque n°1 d'une jeune entreprise.",IF(C24&gt;2,"Beaucoup de « Oui » : êtes-vous sûrs ? Chaque payeur demande ses propres preuves.","OK"))</x:f>
        <x:v>OK</x:v>
      </x:c>
      <x:c r="E24" s="24"/>
      <x:c r="F24" s="24"/>
      <x:c r="G24" s="24"/>
    </x:row>
    <x:row r="26">
      <x:c r="B26" s="7" t="s">
        <x:v>45</x:v>
      </x:c>
    </x:row>
    <x:row r="27" ht="33.95000076293945" customHeight="1">
      <x:c r="B27" s="5" t="s">
        <x:v>46</x:v>
      </x:c>
      <x:c r="C27" s="22" t="str">
        <x:v>B2C (patient)</x:v>
      </x:c>
      <x:c r="D27" s="24"/>
      <x:c r="E27" s="24"/>
      <x:c r="F27" s="24"/>
      <x:c r="G27" s="24"/>
    </x:row>
    <x:row r="28" ht="55" customHeight="1">
      <x:c r="B28" s="5" t="s">
        <x:v>47</x:v>
      </x:c>
      <x:c r="C28" s="22" t="str">
        <x:v>Hypothèse retenue : une souris de suivi personnel achetée directement par l’utilisateur, comme une montre connectée. Son intérêt est l’usage au poste informatique. La finalité médicale conserve ses exigences de conformité et de preuves.</x:v>
      </x:c>
      <x:c r="D28" s="24"/>
      <x:c r="E28" s="24"/>
      <x:c r="F28" s="24"/>
      <x:c r="G28" s="24"/>
    </x:row>
    <x:row r="29" ht="55" customHeight="1">
      <x:c r="B29" s="5" t="s">
        <x:v>48</x:v>
      </x:c>
      <x:c r="C29" s="22" t="str">
        <x:v>Pas d’effet direct sur l’achat B2C sans remboursement : l’utilisateur paie le prix de vente. Si prise en charge concernée à terme : participation de l’assuré portée à 50–60 % au 1er janvier 2027, hors exonérations applicables. Sources dans Lisez-moi.</x:v>
      </x:c>
      <x:c r="D29" s="24"/>
      <x:c r="E29" s="24"/>
      <x:c r="F29" s="24"/>
      <x:c r="G29" s="24"/>
    </x:row>
    <x:row r="30" ht="55" customHeight="1">
      <x:c r="B30" s="5" t="s">
        <x:v>49</x:v>
      </x:c>
      <x:c r="C30" s="22" t="str">
        <x:v>Valider les mesures et tendances, puis la calibration et l’utilité du score cardiovasculaire personnalisé. Tester la compréhension, le confort et le prix acceptable.</x:v>
      </x:c>
      <x:c r="D30" s="24"/>
      <x:c r="E30" s="24"/>
      <x:c r="F30" s="24"/>
      <x:c r="G30" s="24"/>
    </x:row>
    <x:row r="31">
      <x:c r="B31" s="5" t="s">
        <x:v>50</x:v>
      </x:c>
      <x:c r="C31" s="21" t="str">
        <x:f>IF(C27="","Choisissez la voie principale en C27",IF(INDEX(D18:D22,MATCH(C27,{"B2C (patient)","B2B (établissement)","B2B2C (mutuelle)","Remboursement LATM","PECAN (1 an)"},0))="Non","Attention : vous avez répondu « Non » pour cette voie dans le tableau B","OK"))</x:f>
        <x:v>OK</x:v>
      </x:c>
      <x:c r="D31" s="24"/>
      <x:c r="E31" s="24"/>
      <x:c r="F31" s="24"/>
      <x:c r="G31" s="24"/>
    </x:row>
  </x:sheetData>
  <x:mergeCells>
    <x:mergeCell ref="C5:G5"/>
    <x:mergeCell ref="C14:D14"/>
    <x:mergeCell ref="C29:G29"/>
    <x:mergeCell ref="C4:G4"/>
    <x:mergeCell ref="C10:D10"/>
    <x:mergeCell ref="E11:G11"/>
    <x:mergeCell ref="C7:G7"/>
    <x:mergeCell ref="E10:G10"/>
    <x:mergeCell ref="E13:G13"/>
    <x:mergeCell ref="C6:G6"/>
    <x:mergeCell ref="D24:G24"/>
    <x:mergeCell ref="C31:G31"/>
    <x:mergeCell ref="C12:D12"/>
    <x:mergeCell ref="C11:D11"/>
    <x:mergeCell ref="C27:G27"/>
    <x:mergeCell ref="E12:G12"/>
    <x:mergeCell ref="C23:G23"/>
    <x:mergeCell ref="E14:G14"/>
    <x:mergeCell ref="C28:G28"/>
    <x:mergeCell ref="C13:D13"/>
    <x:mergeCell ref="C30:G30"/>
  </x:mergeCells>
  <x:dataValidations count="6">
    <x:dataValidation type="list" allowBlank="1" showErrorMessage="1" errorTitle="Valeur non prévue" error="Choisissez dans la liste." sqref="C4">
      <x:formula1>"A,A en EHPAD,B,C,D,E,F,G"</x:formula1>
    </x:dataValidation>
    <x:dataValidation type="list" allowBlank="1" errorTitle="Valeur non prévue" error="Choisissez dans la liste." sqref="C7">
      <x:formula1>"Dispositif médical,Bien-être,À discuter"</x:formula1>
    </x:dataValidation>
    <x:dataValidation type="list" allowBlank="1" errorTitle="Valeur non prévue" error="Choisissez dans la liste." sqref="C14">
      <x:formula1>"Oui,Non,En partie"</x:formula1>
    </x:dataValidation>
    <x:dataValidation type="list" allowBlank="1" errorTitle="Valeur non prévue" error="Choisissez dans la liste." sqref="D18:D22">
      <x:formula1>"Oui,Peut-être,Non"</x:formula1>
    </x:dataValidation>
    <x:dataValidation type="list" allowBlank="1" errorTitle="Valeur non prévue" error="Choisissez dans la liste." sqref="H18:H22">
      <x:formula1>"1,2,3"</x:formula1>
    </x:dataValidation>
    <x:dataValidation type="list" allowBlank="1" errorTitle="Valeur non prévue" error="Choisissez dans la liste." sqref="C27">
      <x:formula1>"B2C (patient),B2B (établissement),B2B2C (mutuelle),Remboursement LATM,PECAN (1 an)"</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4" customWidth="1"/>
    <x:col min="2" max="2" width="52" customWidth="1"/>
    <x:col min="3" max="5" width="6" customWidth="1"/>
    <x:col min="6" max="6" width="20" customWidth="1"/>
    <x:col min="7" max="7" width="34" customWidth="1"/>
    <x:col min="8" max="8" width="14" customWidth="1"/>
    <x:col min="9" max="11" width="8" customWidth="1"/>
    <x:col min="12" max="12" width="18" customWidth="1"/>
    <x:col min="13" max="13" width="10" customWidth="1"/>
    <x:col min="14" max="73" width="2.5703125" customWidth="1"/>
  </x:cols>
  <x:sheetData>
    <x:row r="1">
      <x:c r="A1" s="4" t="s">
        <x:v>51</x:v>
      </x:c>
    </x:row>
    <x:row r="2">
      <x:c r="A2" t="str">
        <x:v>CAS PÉDAGOGIQUE B : calendrier hypothétique de télésurveillance cardiaque. Durées choisies pour le TP ; aucune prévision validée pour la souris. Orange : chemin critique.</x:v>
      </x:c>
    </x:row>
    <x:row r="3">
      <x:c r="A3" t="s">
        <x:v>52</x:v>
      </x:c>
    </x:row>
    <x:row r="4">
      <x:c r="N4" s="11" t="s">
        <x:v>53</x:v>
      </x:c>
      <x:c r="Z4" s="11" t="s">
        <x:v>54</x:v>
      </x:c>
      <x:c r="AL4" s="11" t="s">
        <x:v>55</x:v>
      </x:c>
      <x:c r="AX4" s="11" t="s">
        <x:v>56</x:v>
      </x:c>
      <x:c r="BJ4" s="11" t="s">
        <x:v>57</x:v>
      </x:c>
    </x:row>
    <x:row r="5" ht="32.099998474121094" customHeight="1">
      <x:c r="A5" s="12" t="s">
        <x:v>58</x:v>
      </x:c>
      <x:c r="B5" s="8" t="s">
        <x:v>59</x:v>
      </x:c>
      <x:c r="C5" s="8" t="s">
        <x:v>60</x:v>
      </x:c>
      <x:c r="D5" s="8" t="s">
        <x:v>60</x:v>
      </x:c>
      <x:c r="E5" s="8" t="s">
        <x:v>60</x:v>
      </x:c>
      <x:c r="F5" s="8" t="s">
        <x:v>61</x:v>
      </x:c>
      <x:c r="G5" s="8" t="s">
        <x:v>62</x:v>
      </x:c>
      <x:c r="H5" s="8" t="s">
        <x:v>63</x:v>
      </x:c>
      <x:c r="I5" s="8" t="s">
        <x:v>64</x:v>
      </x:c>
      <x:c r="J5" s="8" t="s">
        <x:v>65</x:v>
      </x:c>
      <x:c r="K5" s="8" t="s">
        <x:v>66</x:v>
      </x:c>
      <x:c r="L5" s="8" t="s">
        <x:v>67</x:v>
      </x:c>
      <x:c r="M5" s="8" t="s">
        <x:v>68</x:v>
      </x:c>
      <x:c r="N5" s="13">
        <x:v>1</x:v>
      </x:c>
      <x:c r="O5" s="13">
        <x:v>2</x:v>
      </x:c>
      <x:c r="P5" s="13">
        <x:v>3</x:v>
      </x:c>
      <x:c r="Q5" s="13">
        <x:v>4</x:v>
      </x:c>
      <x:c r="R5" s="13">
        <x:v>5</x:v>
      </x:c>
      <x:c r="S5" s="13">
        <x:v>6</x:v>
      </x:c>
      <x:c r="T5" s="13">
        <x:v>7</x:v>
      </x:c>
      <x:c r="U5" s="13">
        <x:v>8</x:v>
      </x:c>
      <x:c r="V5" s="13">
        <x:v>9</x:v>
      </x:c>
      <x:c r="W5" s="13">
        <x:v>10</x:v>
      </x:c>
      <x:c r="X5" s="13">
        <x:v>11</x:v>
      </x:c>
      <x:c r="Y5" s="13">
        <x:v>12</x:v>
      </x:c>
      <x:c r="Z5" s="13">
        <x:v>13</x:v>
      </x:c>
      <x:c r="AA5" s="13">
        <x:v>14</x:v>
      </x:c>
      <x:c r="AB5" s="13">
        <x:v>15</x:v>
      </x:c>
      <x:c r="AC5" s="13">
        <x:v>16</x:v>
      </x:c>
      <x:c r="AD5" s="13">
        <x:v>17</x:v>
      </x:c>
      <x:c r="AE5" s="13">
        <x:v>18</x:v>
      </x:c>
      <x:c r="AF5" s="13">
        <x:v>19</x:v>
      </x:c>
      <x:c r="AG5" s="13">
        <x:v>20</x:v>
      </x:c>
      <x:c r="AH5" s="13">
        <x:v>21</x:v>
      </x:c>
      <x:c r="AI5" s="13">
        <x:v>22</x:v>
      </x:c>
      <x:c r="AJ5" s="13">
        <x:v>23</x:v>
      </x:c>
      <x:c r="AK5" s="13">
        <x:v>24</x:v>
      </x:c>
      <x:c r="AL5" s="13">
        <x:v>25</x:v>
      </x:c>
      <x:c r="AM5" s="13">
        <x:v>26</x:v>
      </x:c>
      <x:c r="AN5" s="13">
        <x:v>27</x:v>
      </x:c>
      <x:c r="AO5" s="13">
        <x:v>28</x:v>
      </x:c>
      <x:c r="AP5" s="13">
        <x:v>29</x:v>
      </x:c>
      <x:c r="AQ5" s="13">
        <x:v>30</x:v>
      </x:c>
      <x:c r="AR5" s="13">
        <x:v>31</x:v>
      </x:c>
      <x:c r="AS5" s="13">
        <x:v>32</x:v>
      </x:c>
      <x:c r="AT5" s="13">
        <x:v>33</x:v>
      </x:c>
      <x:c r="AU5" s="13">
        <x:v>34</x:v>
      </x:c>
      <x:c r="AV5" s="13">
        <x:v>35</x:v>
      </x:c>
      <x:c r="AW5" s="13">
        <x:v>36</x:v>
      </x:c>
      <x:c r="AX5" s="13">
        <x:v>37</x:v>
      </x:c>
      <x:c r="AY5" s="13">
        <x:v>38</x:v>
      </x:c>
      <x:c r="AZ5" s="13">
        <x:v>39</x:v>
      </x:c>
      <x:c r="BA5" s="13">
        <x:v>40</x:v>
      </x:c>
      <x:c r="BB5" s="13">
        <x:v>41</x:v>
      </x:c>
      <x:c r="BC5" s="13">
        <x:v>42</x:v>
      </x:c>
      <x:c r="BD5" s="13">
        <x:v>43</x:v>
      </x:c>
      <x:c r="BE5" s="13">
        <x:v>44</x:v>
      </x:c>
      <x:c r="BF5" s="13">
        <x:v>45</x:v>
      </x:c>
      <x:c r="BG5" s="13">
        <x:v>46</x:v>
      </x:c>
      <x:c r="BH5" s="13">
        <x:v>47</x:v>
      </x:c>
      <x:c r="BI5" s="13">
        <x:v>48</x:v>
      </x:c>
      <x:c r="BJ5" s="13">
        <x:v>49</x:v>
      </x:c>
      <x:c r="BK5" s="13">
        <x:v>50</x:v>
      </x:c>
      <x:c r="BL5" s="13">
        <x:v>51</x:v>
      </x:c>
      <x:c r="BM5" s="13">
        <x:v>52</x:v>
      </x:c>
      <x:c r="BN5" s="13">
        <x:v>53</x:v>
      </x:c>
      <x:c r="BO5" s="13">
        <x:v>54</x:v>
      </x:c>
      <x:c r="BP5" s="13">
        <x:v>55</x:v>
      </x:c>
      <x:c r="BQ5" s="13">
        <x:v>56</x:v>
      </x:c>
      <x:c r="BR5" s="13">
        <x:v>57</x:v>
      </x:c>
      <x:c r="BS5" s="13">
        <x:v>58</x:v>
      </x:c>
      <x:c r="BT5" s="13">
        <x:v>59</x:v>
      </x:c>
      <x:c r="BU5" s="13">
        <x:v>60</x:v>
      </x:c>
    </x:row>
    <x:row r="6" ht="45.95000076293945" customHeight="1">
      <x:c r="A6" s="14">
        <x:v>1</x:v>
      </x:c>
      <x:c r="B6" s="15" t="s">
        <x:v>69</x:v>
      </x:c>
      <x:c r="C6" s="16"/>
      <x:c r="D6" s="16"/>
      <x:c r="E6" s="16"/>
      <x:c r="F6" s="15" t="s">
        <x:v>70</x:v>
      </x:c>
      <x:c r="G6" s="15" t="s">
        <x:v>71</x:v>
      </x:c>
      <x:c r="H6" s="16" t="s">
        <x:v>72</x:v>
      </x:c>
      <x:c r="I6" s="9" t="n">
        <x:v>1</x:v>
      </x:c>
      <x:c r="J6" s="9" t="n">
        <x:v>6</x:v>
      </x:c>
      <x:c r="K6" s="17" t="n">
        <x:f>IF(OR(I6="",J6=""),"",J6-I6+1)</x:f>
        <x:v>6</x:v>
      </x:c>
      <x:c r="L6" s="18" t="str">
        <x:f>IF(OR(I6="",J6=""),"à remplir",IF(J6&lt;I6,"Fin avant début",IF(AND(IF($C6="",TRUE,I6&gt;N(INDEX($J$6:$J$11,$C6))),IF($D6="",TRUE,I6&gt;N(INDEX($J$6:$J$11,$D6))),IF($E6="",TRUE,I6&gt;N(INDEX($J$6:$J$11,$E6)))),"OK","Trop tôt : voir « dépend de »")))</x:f>
        <x:v>OK</x:v>
      </x:c>
      <x:c r="M6" s="9" t="str">
        <x:v>Oui</x:v>
      </x:c>
      <x:c r="N6" s="19"/>
      <x:c r="O6" s="19"/>
      <x:c r="P6" s="19"/>
      <x:c r="Q6" s="19"/>
      <x:c r="R6" s="19"/>
      <x:c r="S6" s="19"/>
      <x:c r="T6" s="19"/>
      <x:c r="U6" s="19"/>
      <x:c r="V6" s="19"/>
      <x:c r="W6" s="19"/>
      <x:c r="X6" s="19"/>
      <x:c r="Y6" s="19"/>
      <x:c r="Z6" s="19"/>
      <x:c r="AA6" s="19"/>
      <x:c r="AB6" s="19"/>
      <x:c r="AC6" s="19"/>
      <x:c r="AD6" s="19"/>
      <x:c r="AE6" s="19"/>
      <x:c r="AF6" s="19"/>
      <x:c r="AG6" s="19"/>
      <x:c r="AH6" s="19"/>
      <x:c r="AI6" s="19"/>
      <x:c r="AJ6" s="19"/>
      <x:c r="AK6" s="19"/>
      <x:c r="AL6" s="19"/>
      <x:c r="AM6" s="19"/>
      <x:c r="AN6" s="19"/>
      <x:c r="AO6" s="19"/>
      <x:c r="AP6" s="19"/>
      <x:c r="AQ6" s="19"/>
      <x:c r="AR6" s="19"/>
      <x:c r="AS6" s="19"/>
      <x:c r="AT6" s="19"/>
      <x:c r="AU6" s="19"/>
      <x:c r="AV6" s="19"/>
      <x:c r="AW6" s="19"/>
      <x:c r="AX6" s="19"/>
      <x:c r="AY6" s="19"/>
      <x:c r="AZ6" s="19"/>
      <x:c r="BA6" s="19"/>
      <x:c r="BB6" s="19"/>
      <x:c r="BC6" s="19"/>
      <x:c r="BD6" s="19"/>
      <x:c r="BE6" s="19"/>
      <x:c r="BF6" s="19"/>
      <x:c r="BG6" s="19"/>
      <x:c r="BH6" s="19"/>
      <x:c r="BI6" s="19"/>
      <x:c r="BJ6" s="19"/>
      <x:c r="BK6" s="19"/>
      <x:c r="BL6" s="19"/>
      <x:c r="BM6" s="19"/>
      <x:c r="BN6" s="19"/>
      <x:c r="BO6" s="19"/>
      <x:c r="BP6" s="19"/>
      <x:c r="BQ6" s="19"/>
      <x:c r="BR6" s="19"/>
      <x:c r="BS6" s="19"/>
      <x:c r="BT6" s="19"/>
      <x:c r="BU6" s="19"/>
    </x:row>
    <x:row r="7" ht="45.95000076293945" customHeight="1">
      <x:c r="A7" s="14">
        <x:v>2</x:v>
      </x:c>
      <x:c r="B7" s="15" t="s">
        <x:v>73</x:v>
      </x:c>
      <x:c r="C7" s="16"/>
      <x:c r="D7" s="16"/>
      <x:c r="E7" s="16"/>
      <x:c r="F7" s="15" t="s">
        <x:v>74</x:v>
      </x:c>
      <x:c r="G7" s="15" t="s">
        <x:v>75</x:v>
      </x:c>
      <x:c r="H7" s="16" t="s">
        <x:v>76</x:v>
      </x:c>
      <x:c r="I7" s="9" t="n">
        <x:v>1</x:v>
      </x:c>
      <x:c r="J7" s="9" t="n">
        <x:v>6</x:v>
      </x:c>
      <x:c r="K7" s="17" t="n">
        <x:f>IF(OR(I7="",J7=""),"",J7-I7+1)</x:f>
        <x:v>6</x:v>
      </x:c>
      <x:c r="L7" s="18" t="str">
        <x:f>IF(OR(I7="",J7=""),"à remplir",IF(J7&lt;I7,"Fin avant début",IF(AND(IF($C7="",TRUE,I7&gt;N(INDEX($J$6:$J$11,$C7))),IF($D7="",TRUE,I7&gt;N(INDEX($J$6:$J$11,$D7))),IF($E7="",TRUE,I7&gt;N(INDEX($J$6:$J$11,$E7)))),"OK","Trop tôt : voir « dépend de »")))</x:f>
        <x:v>OK</x:v>
      </x:c>
      <x:c r="M7" s="9" t="str">
        <x:v>Non</x:v>
      </x:c>
      <x:c r="N7" s="19"/>
      <x:c r="O7" s="19"/>
      <x:c r="P7" s="19"/>
      <x:c r="Q7" s="19"/>
      <x:c r="R7" s="19"/>
      <x:c r="S7" s="19"/>
      <x:c r="T7" s="19"/>
      <x:c r="U7" s="19"/>
      <x:c r="V7" s="19"/>
      <x:c r="W7" s="19"/>
      <x:c r="X7" s="19"/>
      <x:c r="Y7" s="19"/>
      <x:c r="Z7" s="19"/>
      <x:c r="AA7" s="19"/>
      <x:c r="AB7" s="19"/>
      <x:c r="AC7" s="19"/>
      <x:c r="AD7" s="19"/>
      <x:c r="AE7" s="19"/>
      <x:c r="AF7" s="19"/>
      <x:c r="AG7" s="19"/>
      <x:c r="AH7" s="19"/>
      <x:c r="AI7" s="19"/>
      <x:c r="AJ7" s="19"/>
      <x:c r="AK7" s="19"/>
      <x:c r="AL7" s="19"/>
      <x:c r="AM7" s="19"/>
      <x:c r="AN7" s="19"/>
      <x:c r="AO7" s="19"/>
      <x:c r="AP7" s="19"/>
      <x:c r="AQ7" s="19"/>
      <x:c r="AR7" s="19"/>
      <x:c r="AS7" s="19"/>
      <x:c r="AT7" s="19"/>
      <x:c r="AU7" s="19"/>
      <x:c r="AV7" s="19"/>
      <x:c r="AW7" s="19"/>
      <x:c r="AX7" s="19"/>
      <x:c r="AY7" s="19"/>
      <x:c r="AZ7" s="19"/>
      <x:c r="BA7" s="19"/>
      <x:c r="BB7" s="19"/>
      <x:c r="BC7" s="19"/>
      <x:c r="BD7" s="19"/>
      <x:c r="BE7" s="19"/>
      <x:c r="BF7" s="19"/>
      <x:c r="BG7" s="19"/>
      <x:c r="BH7" s="19"/>
      <x:c r="BI7" s="19"/>
      <x:c r="BJ7" s="19"/>
      <x:c r="BK7" s="19"/>
      <x:c r="BL7" s="19"/>
      <x:c r="BM7" s="19"/>
      <x:c r="BN7" s="19"/>
      <x:c r="BO7" s="19"/>
      <x:c r="BP7" s="19"/>
      <x:c r="BQ7" s="19"/>
      <x:c r="BR7" s="19"/>
      <x:c r="BS7" s="19"/>
      <x:c r="BT7" s="19"/>
      <x:c r="BU7" s="19"/>
    </x:row>
    <x:row r="8" ht="45.95000076293945" customHeight="1">
      <x:c r="A8" s="14">
        <x:v>3</x:v>
      </x:c>
      <x:c r="B8" s="15" t="s">
        <x:v>77</x:v>
      </x:c>
      <x:c r="C8" s="16">
        <x:v>1</x:v>
      </x:c>
      <x:c r="D8" s="16"/>
      <x:c r="E8" s="16"/>
      <x:c r="F8" s="15" t="s">
        <x:v>78</x:v>
      </x:c>
      <x:c r="G8" s="15" t="s">
        <x:v>79</x:v>
      </x:c>
      <x:c r="H8" s="16" t="s">
        <x:v>80</x:v>
      </x:c>
      <x:c r="I8" s="9" t="n">
        <x:v>7</x:v>
      </x:c>
      <x:c r="J8" s="9" t="n">
        <x:v>24</x:v>
      </x:c>
      <x:c r="K8" s="17" t="n">
        <x:f>IF(OR(I8="",J8=""),"",J8-I8+1)</x:f>
        <x:v>18</x:v>
      </x:c>
      <x:c r="L8" s="18" t="str">
        <x:f>IF(OR(I8="",J8=""),"à remplir",IF(J8&lt;I8,"Fin avant début",IF(AND(IF($C8="",TRUE,I8&gt;N(INDEX($J$6:$J$11,$C8))),IF($D8="",TRUE,I8&gt;N(INDEX($J$6:$J$11,$D8))),IF($E8="",TRUE,I8&gt;N(INDEX($J$6:$J$11,$E8)))),"OK","Trop tôt : voir « dépend de »")))</x:f>
        <x:v>OK</x:v>
      </x:c>
      <x:c r="M8" s="9" t="str">
        <x:v>Non</x:v>
      </x:c>
      <x:c r="N8" s="19"/>
      <x:c r="O8" s="19"/>
      <x:c r="P8" s="19"/>
      <x:c r="Q8" s="19"/>
      <x:c r="R8" s="19"/>
      <x:c r="S8" s="19"/>
      <x:c r="T8" s="19"/>
      <x:c r="U8" s="19"/>
      <x:c r="V8" s="19"/>
      <x:c r="W8" s="19"/>
      <x:c r="X8" s="19"/>
      <x:c r="Y8" s="19"/>
      <x:c r="Z8" s="19"/>
      <x:c r="AA8" s="19"/>
      <x:c r="AB8" s="19"/>
      <x:c r="AC8" s="19"/>
      <x:c r="AD8" s="19"/>
      <x:c r="AE8" s="19"/>
      <x:c r="AF8" s="19"/>
      <x:c r="AG8" s="19"/>
      <x:c r="AH8" s="19"/>
      <x:c r="AI8" s="19"/>
      <x:c r="AJ8" s="19"/>
      <x:c r="AK8" s="19"/>
      <x:c r="AL8" s="19"/>
      <x:c r="AM8" s="19"/>
      <x:c r="AN8" s="19"/>
      <x:c r="AO8" s="19"/>
      <x:c r="AP8" s="19"/>
      <x:c r="AQ8" s="19"/>
      <x:c r="AR8" s="19"/>
      <x:c r="AS8" s="19"/>
      <x:c r="AT8" s="19"/>
      <x:c r="AU8" s="19"/>
      <x:c r="AV8" s="19"/>
      <x:c r="AW8" s="19"/>
      <x:c r="AX8" s="19"/>
      <x:c r="AY8" s="19"/>
      <x:c r="AZ8" s="19"/>
      <x:c r="BA8" s="19"/>
      <x:c r="BB8" s="19"/>
      <x:c r="BC8" s="19"/>
      <x:c r="BD8" s="19"/>
      <x:c r="BE8" s="19"/>
      <x:c r="BF8" s="19"/>
      <x:c r="BG8" s="19"/>
      <x:c r="BH8" s="19"/>
      <x:c r="BI8" s="19"/>
      <x:c r="BJ8" s="19"/>
      <x:c r="BK8" s="19"/>
      <x:c r="BL8" s="19"/>
      <x:c r="BM8" s="19"/>
      <x:c r="BN8" s="19"/>
      <x:c r="BO8" s="19"/>
      <x:c r="BP8" s="19"/>
      <x:c r="BQ8" s="19"/>
      <x:c r="BR8" s="19"/>
      <x:c r="BS8" s="19"/>
      <x:c r="BT8" s="19"/>
      <x:c r="BU8" s="19"/>
    </x:row>
    <x:row r="9" ht="45.95000076293945" customHeight="1">
      <x:c r="A9" s="14">
        <x:v>4</x:v>
      </x:c>
      <x:c r="B9" s="15" t="s">
        <x:v>81</x:v>
      </x:c>
      <x:c r="C9" s="16">
        <x:v>1</x:v>
      </x:c>
      <x:c r="D9" s="16"/>
      <x:c r="E9" s="16"/>
      <x:c r="F9" s="15" t="s">
        <x:v>82</x:v>
      </x:c>
      <x:c r="G9" s="15" t="s">
        <x:v>83</x:v>
      </x:c>
      <x:c r="H9" s="16" t="s">
        <x:v>84</x:v>
      </x:c>
      <x:c r="I9" s="9" t="n">
        <x:v>7</x:v>
      </x:c>
      <x:c r="J9" s="9" t="n">
        <x:v>30</x:v>
      </x:c>
      <x:c r="K9" s="17" t="n">
        <x:f>IF(OR(I9="",J9=""),"",J9-I9+1)</x:f>
        <x:v>24</x:v>
      </x:c>
      <x:c r="L9" s="18" t="str">
        <x:f>IF(OR(I9="",J9=""),"à remplir",IF(J9&lt;I9,"Fin avant début",IF(AND(IF($C9="",TRUE,I9&gt;N(INDEX($J$6:$J$11,$C9))),IF($D9="",TRUE,I9&gt;N(INDEX($J$6:$J$11,$D9))),IF($E9="",TRUE,I9&gt;N(INDEX($J$6:$J$11,$E9)))),"OK","Trop tôt : voir « dépend de »")))</x:f>
        <x:v>OK</x:v>
      </x:c>
      <x:c r="M9" s="9" t="str">
        <x:v>Oui</x:v>
      </x:c>
      <x:c r="N9" s="19"/>
      <x:c r="O9" s="19"/>
      <x:c r="P9" s="19"/>
      <x:c r="Q9" s="19"/>
      <x:c r="R9" s="19"/>
      <x:c r="S9" s="19"/>
      <x:c r="T9" s="19"/>
      <x:c r="U9" s="19"/>
      <x:c r="V9" s="19"/>
      <x:c r="W9" s="19"/>
      <x:c r="X9" s="19"/>
      <x:c r="Y9" s="19"/>
      <x:c r="Z9" s="19"/>
      <x:c r="AA9" s="19"/>
      <x:c r="AB9" s="19"/>
      <x:c r="AC9" s="19"/>
      <x:c r="AD9" s="19"/>
      <x:c r="AE9" s="19"/>
      <x:c r="AF9" s="19"/>
      <x:c r="AG9" s="19"/>
      <x:c r="AH9" s="19"/>
      <x:c r="AI9" s="19"/>
      <x:c r="AJ9" s="19"/>
      <x:c r="AK9" s="19"/>
      <x:c r="AL9" s="19"/>
      <x:c r="AM9" s="19"/>
      <x:c r="AN9" s="19"/>
      <x:c r="AO9" s="19"/>
      <x:c r="AP9" s="19"/>
      <x:c r="AQ9" s="19"/>
      <x:c r="AR9" s="19"/>
      <x:c r="AS9" s="19"/>
      <x:c r="AT9" s="19"/>
      <x:c r="AU9" s="19"/>
      <x:c r="AV9" s="19"/>
      <x:c r="AW9" s="19"/>
      <x:c r="AX9" s="19"/>
      <x:c r="AY9" s="19"/>
      <x:c r="AZ9" s="19"/>
      <x:c r="BA9" s="19"/>
      <x:c r="BB9" s="19"/>
      <x:c r="BC9" s="19"/>
      <x:c r="BD9" s="19"/>
      <x:c r="BE9" s="19"/>
      <x:c r="BF9" s="19"/>
      <x:c r="BG9" s="19"/>
      <x:c r="BH9" s="19"/>
      <x:c r="BI9" s="19"/>
      <x:c r="BJ9" s="19"/>
      <x:c r="BK9" s="19"/>
      <x:c r="BL9" s="19"/>
      <x:c r="BM9" s="19"/>
      <x:c r="BN9" s="19"/>
      <x:c r="BO9" s="19"/>
      <x:c r="BP9" s="19"/>
      <x:c r="BQ9" s="19"/>
      <x:c r="BR9" s="19"/>
      <x:c r="BS9" s="19"/>
      <x:c r="BT9" s="19"/>
      <x:c r="BU9" s="19"/>
    </x:row>
    <x:row r="10" ht="45.95000076293945" customHeight="1">
      <x:c r="A10" s="14">
        <x:v>5</x:v>
      </x:c>
      <x:c r="B10" s="15" t="s">
        <x:v>85</x:v>
      </x:c>
      <x:c r="C10" s="16">
        <x:v>2</x:v>
      </x:c>
      <x:c r="D10" s="16">
        <x:v>3</x:v>
      </x:c>
      <x:c r="E10" s="16">
        <x:v>4</x:v>
      </x:c>
      <x:c r="F10" s="15" t="s">
        <x:v>86</x:v>
      </x:c>
      <x:c r="G10" s="15" t="s">
        <x:v>87</x:v>
      </x:c>
      <x:c r="H10" s="16" t="s">
        <x:v>88</x:v>
      </x:c>
      <x:c r="I10" s="9" t="n">
        <x:v>31</x:v>
      </x:c>
      <x:c r="J10" s="9" t="n">
        <x:v>39</x:v>
      </x:c>
      <x:c r="K10" s="17" t="n">
        <x:f>IF(OR(I10="",J10=""),"",J10-I10+1)</x:f>
        <x:v>9</x:v>
      </x:c>
      <x:c r="L10" s="18" t="str">
        <x:f>IF(OR(I10="",J10=""),"à remplir",IF(J10&lt;I10,"Fin avant début",IF(AND(IF($C10="",TRUE,I10&gt;N(INDEX($J$6:$J$11,$C10))),IF($D10="",TRUE,I10&gt;N(INDEX($J$6:$J$11,$D10))),IF($E10="",TRUE,I10&gt;N(INDEX($J$6:$J$11,$E10)))),"OK","Trop tôt : voir « dépend de »")))</x:f>
        <x:v>OK</x:v>
      </x:c>
      <x:c r="M10" s="9" t="str">
        <x:v>Oui</x:v>
      </x:c>
      <x:c r="N10" s="19"/>
      <x:c r="O10" s="19"/>
      <x:c r="P10" s="19"/>
      <x:c r="Q10" s="19"/>
      <x:c r="R10" s="19"/>
      <x:c r="S10" s="19"/>
      <x:c r="T10" s="19"/>
      <x:c r="U10" s="19"/>
      <x:c r="V10" s="19"/>
      <x:c r="W10" s="19"/>
      <x:c r="X10" s="19"/>
      <x:c r="Y10" s="19"/>
      <x:c r="Z10" s="19"/>
      <x:c r="AA10" s="19"/>
      <x:c r="AB10" s="19"/>
      <x:c r="AC10" s="19"/>
      <x:c r="AD10" s="19"/>
      <x:c r="AE10" s="19"/>
      <x:c r="AF10" s="19"/>
      <x:c r="AG10" s="19"/>
      <x:c r="AH10" s="19"/>
      <x:c r="AI10" s="19"/>
      <x:c r="AJ10" s="19"/>
      <x:c r="AK10" s="19"/>
      <x:c r="AL10" s="19"/>
      <x:c r="AM10" s="19"/>
      <x:c r="AN10" s="19"/>
      <x:c r="AO10" s="19"/>
      <x:c r="AP10" s="19"/>
      <x:c r="AQ10" s="19"/>
      <x:c r="AR10" s="19"/>
      <x:c r="AS10" s="19"/>
      <x:c r="AT10" s="19"/>
      <x:c r="AU10" s="19"/>
      <x:c r="AV10" s="19"/>
      <x:c r="AW10" s="19"/>
      <x:c r="AX10" s="19"/>
      <x:c r="AY10" s="19"/>
      <x:c r="AZ10" s="19"/>
      <x:c r="BA10" s="19"/>
      <x:c r="BB10" s="19"/>
      <x:c r="BC10" s="19"/>
      <x:c r="BD10" s="19"/>
      <x:c r="BE10" s="19"/>
      <x:c r="BF10" s="19"/>
      <x:c r="BG10" s="19"/>
      <x:c r="BH10" s="19"/>
      <x:c r="BI10" s="19"/>
      <x:c r="BJ10" s="19"/>
      <x:c r="BK10" s="19"/>
      <x:c r="BL10" s="19"/>
      <x:c r="BM10" s="19"/>
      <x:c r="BN10" s="19"/>
      <x:c r="BO10" s="19"/>
      <x:c r="BP10" s="19"/>
      <x:c r="BQ10" s="19"/>
      <x:c r="BR10" s="19"/>
      <x:c r="BS10" s="19"/>
      <x:c r="BT10" s="19"/>
      <x:c r="BU10" s="19"/>
    </x:row>
    <x:row r="11" ht="45.95000076293945" customHeight="1">
      <x:c r="A11" s="14">
        <x:v>6</x:v>
      </x:c>
      <x:c r="B11" s="15" t="s">
        <x:v>89</x:v>
      </x:c>
      <x:c r="C11" s="16">
        <x:v>5</x:v>
      </x:c>
      <x:c r="D11" s="16"/>
      <x:c r="E11" s="16"/>
      <x:c r="F11" s="15" t="s">
        <x:v>86</x:v>
      </x:c>
      <x:c r="G11" s="15" t="s">
        <x:v>90</x:v>
      </x:c>
      <x:c r="H11" s="16" t="s">
        <x:v>91</x:v>
      </x:c>
      <x:c r="I11" s="9" t="n">
        <x:v>40</x:v>
      </x:c>
      <x:c r="J11" s="9" t="n">
        <x:v>48</x:v>
      </x:c>
      <x:c r="K11" s="17" t="n">
        <x:f>IF(OR(I11="",J11=""),"",J11-I11+1)</x:f>
        <x:v>9</x:v>
      </x:c>
      <x:c r="L11" s="18" t="str">
        <x:f>IF(OR(I11="",J11=""),"à remplir",IF(J11&lt;I11,"Fin avant début",IF(AND(IF($C11="",TRUE,I11&gt;N(INDEX($J$6:$J$11,$C11))),IF($D11="",TRUE,I11&gt;N(INDEX($J$6:$J$11,$D11))),IF($E11="",TRUE,I11&gt;N(INDEX($J$6:$J$11,$E11)))),"OK","Trop tôt : voir « dépend de »")))</x:f>
        <x:v>OK</x:v>
      </x:c>
      <x:c r="M11" s="9" t="str">
        <x:v>Oui</x:v>
      </x:c>
      <x:c r="N11" s="19"/>
      <x:c r="O11" s="19"/>
      <x:c r="P11" s="19"/>
      <x:c r="Q11" s="19"/>
      <x:c r="R11" s="19"/>
      <x:c r="S11" s="19"/>
      <x:c r="T11" s="19"/>
      <x:c r="U11" s="19"/>
      <x:c r="V11" s="19"/>
      <x:c r="W11" s="19"/>
      <x:c r="X11" s="19"/>
      <x:c r="Y11" s="19"/>
      <x:c r="Z11" s="19"/>
      <x:c r="AA11" s="19"/>
      <x:c r="AB11" s="19"/>
      <x:c r="AC11" s="19"/>
      <x:c r="AD11" s="19"/>
      <x:c r="AE11" s="19"/>
      <x:c r="AF11" s="19"/>
      <x:c r="AG11" s="19"/>
      <x:c r="AH11" s="19"/>
      <x:c r="AI11" s="19"/>
      <x:c r="AJ11" s="19"/>
      <x:c r="AK11" s="19"/>
      <x:c r="AL11" s="19"/>
      <x:c r="AM11" s="19"/>
      <x:c r="AN11" s="19"/>
      <x:c r="AO11" s="19"/>
      <x:c r="AP11" s="19"/>
      <x:c r="AQ11" s="19"/>
      <x:c r="AR11" s="19"/>
      <x:c r="AS11" s="19"/>
      <x:c r="AT11" s="19"/>
      <x:c r="AU11" s="19"/>
      <x:c r="AV11" s="19"/>
      <x:c r="AW11" s="19"/>
      <x:c r="AX11" s="19"/>
      <x:c r="AY11" s="19"/>
      <x:c r="AZ11" s="19"/>
      <x:c r="BA11" s="19"/>
      <x:c r="BB11" s="19"/>
      <x:c r="BC11" s="19"/>
      <x:c r="BD11" s="19"/>
      <x:c r="BE11" s="19"/>
      <x:c r="BF11" s="19"/>
      <x:c r="BG11" s="19"/>
      <x:c r="BH11" s="19"/>
      <x:c r="BI11" s="19"/>
      <x:c r="BJ11" s="19"/>
      <x:c r="BK11" s="19"/>
      <x:c r="BL11" s="19"/>
      <x:c r="BM11" s="19"/>
      <x:c r="BN11" s="19"/>
      <x:c r="BO11" s="19"/>
      <x:c r="BP11" s="19"/>
      <x:c r="BQ11" s="19"/>
      <x:c r="BR11" s="19"/>
      <x:c r="BS11" s="19"/>
      <x:c r="BT11" s="19"/>
      <x:c r="BU11" s="19"/>
    </x:row>
    <x:row r="13">
      <x:c r="B13" s="5" t="s">
        <x:v>92</x:v>
      </x:c>
      <x:c r="C13" s="21" t="n">
        <x:f>IF(COUNT(J6:J11)&lt;6,"remplissez les 6 jalons",MAX(J6:J11)-MIN(I6:I11)+1)</x:f>
        <x:v>48</x:v>
      </x:c>
      <x:c r="D13" s="26"/>
      <x:c r="E13" s="26"/>
      <x:c r="F13" s="25"/>
    </x:row>
    <x:row r="14">
      <x:c r="B14" s="5" t="s">
        <x:v>93</x:v>
      </x:c>
      <x:c r="C14" s="21" t="n">
        <x:f>IF(ISNUMBER(C13),ROUND(C13/12,1),"")</x:f>
        <x:v>4</x:v>
      </x:c>
      <x:c r="D14" s="26"/>
      <x:c r="E14" s="26"/>
      <x:c r="F14" s="25"/>
    </x:row>
    <x:row r="15">
      <x:c r="B15" s="5" t="s">
        <x:v>94</x:v>
      </x:c>
      <x:c r="C15" s="21" t="n">
        <x:f>SUM(K6:K11)</x:f>
        <x:v>72</x:v>
      </x:c>
      <x:c r="D15" s="26"/>
      <x:c r="E15" s="26"/>
      <x:c r="F15" s="25"/>
    </x:row>
    <x:row r="16">
      <x:c r="B16" s="5" t="s">
        <x:v>95</x:v>
      </x:c>
      <x:c r="C16" s="21" t="n">
        <x:f>IF(ISNUMBER(C13),C15-C13,"")</x:f>
        <x:v>24</x:v>
      </x:c>
      <x:c r="D16" s="26"/>
      <x:c r="E16" s="26"/>
      <x:c r="F16" s="25"/>
    </x:row>
    <x:row r="17">
      <x:c r="B17" s="5" t="s">
        <x:v>96</x:v>
      </x:c>
      <x:c r="C17" s="21" t="n">
        <x:f>COUNTIF(M6:M11,"Oui")</x:f>
        <x:v>4</x:v>
      </x:c>
      <x:c r="D17" s="26"/>
      <x:c r="E17" s="26"/>
      <x:c r="F17" s="25"/>
    </x:row>
    <x:row r="18">
      <x:c r="B18" s="5" t="s">
        <x:v>97</x:v>
      </x:c>
      <x:c r="C18" s="21" t="str">
        <x:f>COUNTIF(L6:L11,"OK")&amp;" sur 6"</x:f>
        <x:v>6 sur 6</x:v>
      </x:c>
      <x:c r="D18" s="26"/>
      <x:c r="E18" s="26"/>
      <x:c r="F18" s="25"/>
    </x:row>
    <x:row r="20">
      <x:c r="B20" s="7" t="s">
        <x:v>98</x:v>
      </x:c>
    </x:row>
    <x:row r="21" ht="58" customHeight="1">
      <x:c r="B21" s="27" t="str">
        <x:v>Q5. Parcours : 48 mois. Somme des durées : 72 mois. Gain par travail parallèle : 24 mois. Les coûts restent qualitatifs, sans montant inventé.</x:v>
      </x:c>
      <x:c r="C21" s="29"/>
      <x:c r="D21" s="29"/>
      <x:c r="E21" s="29"/>
      <x:c r="F21" s="29"/>
      <x:c r="G21" s="29"/>
      <x:c r="H21" s="29"/>
      <x:c r="I21" s="29"/>
      <x:c r="J21" s="29"/>
      <x:c r="K21" s="29"/>
      <x:c r="L21" s="29"/>
      <x:c r="M21" s="29"/>
    </x:row>
    <x:row r="22" ht="58" customHeight="1">
      <x:c r="B22" s="27" t="str">
        <x:v>Q6. Chemin critique : 1 → 4 → 5 → 6. Développement (3) : 6 mois de marge. Stratégie (2) : 24 mois de marge dans ce modèle de dépendances, mais à commencer dès le début en pratique.</x:v>
      </x:c>
      <x:c r="C22" s="29"/>
      <x:c r="D22" s="29"/>
      <x:c r="E22" s="29"/>
      <x:c r="F22" s="29"/>
      <x:c r="G22" s="29"/>
      <x:c r="H22" s="29"/>
      <x:c r="I22" s="29"/>
      <x:c r="J22" s="29"/>
      <x:c r="K22" s="29"/>
      <x:c r="L22" s="29"/>
      <x:c r="M22" s="29"/>
    </x:row>
    <x:row r="23" ht="58" customHeight="1">
      <x:c r="B23" s="27" t="str">
        <x:v>Q7. Définir tôt stratégie réglementaire et protocole clinique ; mener développement et preuves en parallèle quand faisable. Préparer en amont les dossiers et échanges avec les évaluateurs.</x:v>
      </x:c>
      <x:c r="C23" s="29"/>
      <x:c r="D23" s="29"/>
      <x:c r="E23" s="29"/>
      <x:c r="F23" s="29"/>
      <x:c r="G23" s="29"/>
      <x:c r="H23" s="29"/>
      <x:c r="I23" s="29"/>
      <x:c r="J23" s="29"/>
      <x:c r="K23" s="29"/>
      <x:c r="L23" s="29"/>
      <x:c r="M23" s="29"/>
    </x:row>
    <x:row r="24" ht="58" customHeight="1">
      <x:c r="B24" s="27" t="str">
        <x:v>Q8. Réglementation tardive : jalons 2/3, fixer la destination tôt. Pas de preuves : jalon 4, préparer le protocole dès la conception. Payeur absent : jalon 6, interroger les acheteurs dès le début.</x:v>
      </x:c>
      <x:c r="C24" s="29"/>
      <x:c r="D24" s="29"/>
      <x:c r="E24" s="29"/>
      <x:c r="F24" s="29"/>
      <x:c r="G24" s="29"/>
      <x:c r="H24" s="29"/>
      <x:c r="I24" s="29"/>
      <x:c r="J24" s="29"/>
      <x:c r="K24" s="29"/>
      <x:c r="L24" s="29"/>
      <x:c r="M24" s="29"/>
    </x:row>
    <x:row r="25" ht="58" customHeight="1">
      <x:c r="B25" s="27" t="str">
        <x:v>Q9. Souris : vente B2C retenue, donc étape 6 centrée sur prix, distribution et achat individuel. Pas de dossier de remboursement pour cette voie. La finalité médicale maintient les exigences de conformité et de preuves. Les 48 mois concernent le cas pédagogique B.</x:v>
      </x:c>
      <x:c r="C25" s="29"/>
      <x:c r="D25" s="29"/>
      <x:c r="E25" s="29"/>
      <x:c r="F25" s="29"/>
      <x:c r="G25" s="29"/>
      <x:c r="H25" s="29"/>
      <x:c r="I25" s="29"/>
      <x:c r="J25" s="29"/>
      <x:c r="K25" s="29"/>
      <x:c r="L25" s="29"/>
      <x:c r="M25" s="29"/>
    </x:row>
  </x:sheetData>
  <x:mergeCells>
    <x:mergeCell ref="C13:F13"/>
    <x:mergeCell ref="B24:M24"/>
    <x:mergeCell ref="C18:F18"/>
    <x:mergeCell ref="C17:F17"/>
    <x:mergeCell ref="B25:M25"/>
    <x:mergeCell ref="B23:M23"/>
    <x:mergeCell ref="B22:M22"/>
    <x:mergeCell ref="C16:F16"/>
    <x:mergeCell ref="C15:F15"/>
    <x:mergeCell ref="B21:M21"/>
    <x:mergeCell ref="C14:F14"/>
  </x:mergeCells>
  <x:conditionalFormatting sqref="N6:BU11">
    <x:cfRule type="expression" dxfId="2" priority="1" stopIfTrue="1">
      <x:formula>AND(AND(N$5&gt;=$I6,N$5&lt;=$J6,$I6&lt;&gt;"",$J6&lt;&gt;""),$M6="Oui")</x:formula>
    </x:cfRule>
    <x:cfRule type="expression" dxfId="1" priority="2" stopIfTrue="1">
      <x:formula>AND(N$5&gt;=$I6,N$5&lt;=$J6,$I6&lt;&gt;"",$J6&lt;&gt;"")</x:formula>
    </x:cfRule>
  </x:conditionalFormatting>
  <x:conditionalFormatting sqref="L6:L11">
    <x:cfRule type="expression" dxfId="0" priority="3">
      <x:formula>LEFT($L6,4)="Trop"</x:formula>
    </x:cfRule>
  </x:conditionalFormatting>
  <x:dataValidations count="2">
    <x:dataValidation type="list" allowBlank="1" errorTitle="Valeur non prévue" error="Choisissez dans la liste." sqref="M6:M11">
      <x:formula1>"Oui,Non"</x:formula1>
    </x:dataValidation>
    <x:dataValidation type="whole" allowBlank="1" error="Un nombre entier de mois, entre 1 et 60." sqref="I6:J11">
      <x:formula1>1</x:formula1>
      <x:formula2>60</x:formula2>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5" customWidth="1"/>
    <x:col min="2" max="2" width="44" customWidth="1"/>
    <x:col min="3" max="3" width="46" customWidth="1"/>
    <x:col min="4" max="4" width="62" customWidth="1"/>
  </x:cols>
  <x:sheetData>
    <x:row r="1">
      <x:c r="A1" s="4" t="s">
        <x:v>99</x:v>
      </x:c>
    </x:row>
    <x:row r="2">
      <x:c r="A2" t="s">
        <x:v>100</x:v>
      </x:c>
    </x:row>
    <x:row r="4">
      <x:c r="A4" s="12" t="s">
        <x:v>58</x:v>
      </x:c>
      <x:c r="B4" s="8" t="s">
        <x:v>101</x:v>
      </x:c>
      <x:c r="C4" s="8" t="s">
        <x:v>102</x:v>
      </x:c>
      <x:c r="D4" s="8" t="s">
        <x:v>103</x:v>
      </x:c>
    </x:row>
    <x:row r="5" ht="45.95000076293945" customHeight="1">
      <x:c r="A5" s="20"/>
      <x:c r="B5" s="5" t="s">
        <x:v>104</x:v>
      </x:c>
      <x:c r="C5" s="27" t="str">
        <x:v>Équipe 02</x:v>
      </x:c>
      <x:c r="D5" s="30" t="str">
        <x:v>Équipe 02, cas G ; prototype pédagogique.</x:v>
      </x:c>
    </x:row>
    <x:row r="6" ht="45.95000076293945" customHeight="1">
      <x:c r="A6" s="20"/>
      <x:c r="B6" s="5" t="s">
        <x:v>105</x:v>
      </x:c>
      <x:c r="C6" s="27" t="str">
        <x:v>G</x:v>
      </x:c>
      <x:c r="D6" s="30" t="str">
        <x:v>Objectif confirmé dans le TP4 puis réaffirmé le 19 octobre 2026.</x:v>
      </x:c>
    </x:row>
    <x:row r="7" ht="65" customHeight="1">
      <x:c r="A7" s="20"/>
      <x:c r="B7" s="5" t="s">
        <x:v>106</x:v>
      </x:c>
      <x:c r="C7" s="27" t="str">
        <x:v>Souris de suivi personnel : indicateurs, tendances ET estimation du risque cardiovasculaire personnalisé.</x:v>
      </x:c>
      <x:c r="D7" s="30" t="str">
        <x:v>Analogie d’usage et de commercialisation avec une montre, sans équivalence de capteurs, performances ou certification.</x:v>
      </x:c>
    </x:row>
    <x:row r="8" ht="94" customHeight="1">
      <x:c r="A8" s="20">
        <x:v>1</x:v>
      </x:c>
      <x:c r="B8" s="5" t="s">
        <x:v>107</x:v>
      </x:c>
      <x:c r="C8" s="27" t="str">
        <x:v>Suivre les indicateurs physiologiques et leurs tendances pendant l’utilisation de l’ordinateur, et estimer un risque personnalisé de complications cardiovasculaires en lien avec le stress et la sédentarité, afin d’informer la prévention et de permettre un partage choisi avec un professionnel de santé.</x:v>
      </x:c>
      <x:c r="D8" s="30" t="str">
        <x:v>Les deux fonctions sont retenues comme hypothèse produit. Le suivi technique existe dans R3 ; le score personnalisé reste à développer et valider.</x:v>
      </x:c>
    </x:row>
    <x:row r="9" ht="45.95000076293945" customHeight="1">
      <x:c r="A9" s="20">
        <x:v>2</x:v>
      </x:c>
      <x:c r="B9" s="5" t="s">
        <x:v>108</x:v>
      </x:c>
      <x:c r="C9" s="27" t="str">
        <x:v>Dispositif médical</x:v>
      </x:c>
      <x:c r="D9" s="27" t="str">
        <x:v>La prévention d’une maladie motive la qualification ; les capteurs seuls ne suffisent pas.</x:v>
      </x:c>
    </x:row>
    <x:row r="10" ht="65" customHeight="1">
      <x:c r="A10" s="20">
        <x:v>3</x:v>
      </x:c>
      <x:c r="B10" s="5" t="s">
        <x:v>109</x:v>
      </x:c>
      <x:c r="C10" s="27" t="str">
        <x:v>IIa</x:v>
      </x:c>
      <x:c r="D10" s="27" t="str">
        <x:v>IIa : hypothèse du TP, règle 11, score informant la prévention. Réexaminer IIb/III selon le rôle des résultats et les conséquences des erreurs. Aucune certification acquise.</x:v>
      </x:c>
    </x:row>
    <x:row r="11" ht="45.95000076293945" customHeight="1">
      <x:c r="A11" s="20" t="s">
        <x:v>110</x:v>
      </x:c>
      <x:c r="B11" s="5" t="s">
        <x:v>111</x:v>
      </x:c>
      <x:c r="C11" s="27" t="str">
        <x:v>Règle 11 (logiciel)</x:v>
      </x:c>
      <x:c r="D11" s="31" t="str">
        <x:f>IF(C10="À déterminer","Classe et procédure à confirmer ; organisme notifié si IIa/IIb/III",IF(OR(C10="IIa",C10="IIb",C10="III"),"Organisme notifié requis",IF(C10="I","Procédure classe I à vérifier","Vérifier la qualification")))</x:f>
        <x:v>Organisme notifié requis</x:v>
      </x:c>
    </x:row>
    <x:row r="12" ht="45.95000076293945" customHeight="1">
      <x:c r="A12" s="20" t="s">
        <x:v>112</x:v>
      </x:c>
      <x:c r="B12" s="5" t="s">
        <x:v>113</x:v>
      </x:c>
      <x:c r="C12" s="27" t="str">
        <x:v>Oui</x:v>
      </x:c>
      <x:c r="D12" s="27" t="str">
        <x:v>Système qualité à établir pour le développement médical ; aucune certification acquise.</x:v>
      </x:c>
    </x:row>
    <x:row r="13" ht="45.95000076293945" customHeight="1">
      <x:c r="A13" s="20" t="s">
        <x:v>114</x:v>
      </x:c>
      <x:c r="B13" s="5" t="s">
        <x:v>115</x:v>
      </x:c>
      <x:c r="C13" s="27" t="str">
        <x:v>Oui</x:v>
      </x:c>
      <x:c r="D13" s="30" t="str">
        <x:v>Gestion des risques ; cotations préparatoires du M3-2 actualisées.</x:v>
      </x:c>
    </x:row>
    <x:row r="14" ht="45.95000076293945" customHeight="1">
      <x:c r="A14" s="20" t="s">
        <x:v>116</x:v>
      </x:c>
      <x:c r="B14" s="5" t="s">
        <x:v>117</x:v>
      </x:c>
      <x:c r="C14" s="27" t="str">
        <x:v>Oui</x:v>
      </x:c>
      <x:c r="D14" s="30" t="str">
        <x:v>Cycle de vie du logiciel médical, tests, maintenance et traçabilité à organiser.</x:v>
      </x:c>
    </x:row>
    <x:row r="15" ht="45.95000076293945" customHeight="1">
      <x:c r="A15" s="20" t="s">
        <x:v>118</x:v>
      </x:c>
      <x:c r="B15" s="5" t="s">
        <x:v>119</x:v>
      </x:c>
      <x:c r="C15" s="27" t="str">
        <x:v>Oui</x:v>
      </x:c>
      <x:c r="D15" s="30" t="str">
        <x:v>Compréhension des résultats, erreurs d’usage et confort à évaluer.</x:v>
      </x:c>
    </x:row>
    <x:row r="16" ht="45.95000076293945" customHeight="1">
      <x:c r="A16" s="20" t="s">
        <x:v>120</x:v>
      </x:c>
      <x:c r="B16" s="5" t="s">
        <x:v>121</x:v>
      </x:c>
      <x:c r="C16" s="27" t="str">
        <x:v>Oui</x:v>
      </x:c>
      <x:c r="D16" s="30" t="str">
        <x:v>Cybersécurité du cycle de vie : accès, intégrité, identité et mises à jour à valider.</x:v>
      </x:c>
    </x:row>
    <x:row r="17" ht="65" customHeight="1">
      <x:c r="A17" s="20">
        <x:v>5</x:v>
      </x:c>
      <x:c r="B17" s="5" t="s">
        <x:v>122</x:v>
      </x:c>
      <x:c r="C17" s="27" t="str">
        <x:v>Pas encore décidé</x:v>
      </x:c>
      <x:c r="D17" s="31" t="str">
        <x:f>IF(C17="Pas encore décidé","Choix de l’IA non arrêté pour le futur score ; pas de modèle d’IA cardiovasculaire dans R3",IF(C17="","Répondez Oui ou Non",IF(C17="Oui",IF(OR(C10="IIa",C10="IIb",C10="III"),"IA à haut risque (AI Act, annexe I) : obligations au 2 août 2028, vérifiées dans le dossier du marquage CE","IA hors organisme notifié : pas « haut risque » par l'annexe I ; vérifier l'annexe III (2 décembre 2027), à vérifier"),"Pas d'IA : AI Act non concerné pour l'instant")))</x:f>
        <x:v>Choix de l’IA non arrêté pour le futur score ; pas de modèle d’IA cardiovasculaire dans R3</x:v>
      </x:c>
    </x:row>
    <x:row r="18" ht="65" customHeight="1">
      <x:c r="A18" s="20" t="s">
        <x:v>123</x:v>
      </x:c>
      <x:c r="B18" s="5" t="s">
        <x:v>124</x:v>
      </x:c>
      <x:c r="C18" s="27" t="str">
        <x:v>Pas de modèle d’IA d’évaluation cardiovasculaire dans R3 ; architecture future non arrêtée.</x:v>
      </x:c>
      <x:c r="D18" s="30" t="str">
        <x:v>Un traitement numérique ou une règle de seuil ne prouve pas l’existence d’une IA clinique.</x:v>
      </x:c>
    </x:row>
    <x:row r="19" ht="45.95000076293945" customHeight="1">
      <x:c r="A19" s="20">
        <x:v>6</x:v>
      </x:c>
      <x:c r="B19" s="5" t="s">
        <x:v>125</x:v>
      </x:c>
      <x:c r="C19" s="31" t="str">
        <x:f>IF(C9="Bien-être","OUI, le CRA s'applique",IF(C9="Dispositif médical","NON (exclu : relève du MDR)",IF(C9="","Répondez à la ligne 2","À discuter : OUI si la promesse reste non médicale, NON si dispositif médical")))</x:f>
        <x:v>NON (exclu : relève du MDR)</x:v>
      </x:c>
      <x:c r="D19" s="31" t="str">
        <x:f>IF(C9="Dispositif médical","Le CRA exclut les dispositifs médicaux relevant du MDR (la cybersécurité passe par le MDR)","Si bien-être : signalement des vulnérabilités dès le 11 septembre 2026, obligations principales au 11 décembre 2027")</x:f>
        <x:v>Le CRA exclut les dispositifs médicaux relevant du MDR (la cybersécurité passe par le MDR)</x:v>
      </x:c>
    </x:row>
    <x:row r="20" ht="45.95000076293945" customHeight="1">
      <x:c r="A20" s="20">
        <x:v>7</x:v>
      </x:c>
      <x:c r="B20" s="5" t="s">
        <x:v>126</x:v>
      </x:c>
      <x:c r="C20" s="32" t="s">
        <x:v>127</x:v>
      </x:c>
      <x:c r="D20" s="27" t="str">
        <x:v>Base juridique, condition de l’article 9, droits, accès et conservation à documenter ; AIPD préparatoire disponible.</x:v>
      </x:c>
    </x:row>
    <x:row r="21" ht="45.95000076293945" customHeight="1">
      <x:c r="A21" s="20" t="s">
        <x:v>128</x:v>
      </x:c>
      <x:c r="B21" s="5" t="s">
        <x:v>129</x:v>
      </x:c>
      <x:c r="C21" s="27" t="str">
        <x:v>Non</x:v>
      </x:c>
      <x:c r="D21" s="31" t="str">
        <x:f>IF(C21="Oui","Hébergeur certifié HDS obligatoire (référentiel version 2 ; l'ancienne certification ne vaut plus depuis le 16 mai 2026)",IF(C21="Non","Pas d'hébergeur tiers : mais la sécurité et le RGPD restent obligatoires","Répondez Oui ou Non"))</x:f>
        <x:v>Pas d'hébergeur tiers : mais la sécurité et le RGPD restent obligatoires</x:v>
      </x:c>
    </x:row>
    <x:row r="22" ht="45.95000076293945" customHeight="1">
      <x:c r="A22" s="20">
        <x:v>8</x:v>
      </x:c>
      <x:c r="B22" s="5" t="s">
        <x:v>130</x:v>
      </x:c>
      <x:c r="C22" s="27" t="str">
        <x:v>B2C (patient)</x:v>
      </x:c>
      <x:c r="D22" s="31" t="str">
        <x:f>IF(C22="","Choisissez la voie",IF(C22="B2C (patient)","Preuves : utilité ressentie, prix, simplicité ; marquage CE si promesse médicale",IF(C22="B2B (établissement)","Preuves : temps soignant économisé, fiabilité, branchement sur l'existant, RGPD / HDS, prix",IF(C22="B2B2C (mutuelle)","Preuves : économies ou service aux adhérents, preuves d'usage, marquage CE",IF(C22="Remboursement LATM","Preuves : marquage CE, preuves cliniques pour l'avis de la HAS, règles de l'ANS (à vérifier), médecin opérateur",IF(C22="PECAN (1 an)","Preuves : marquage CE, innovation présumée (HAS), règles de l'ANS (à vérifier) ; permis provisoire d'un an","Voie mixte : listez les preuves de chaque payeur"))))))</x:f>
        <x:v>Preuves : utilité ressentie, prix, simplicité ; marquage CE si promesse médicale</x:v>
      </x:c>
    </x:row>
    <x:row r="23" ht="65" customHeight="1">
      <x:c r="A23" s="20" t="s">
        <x:v>131</x:v>
      </x:c>
      <x:c r="B23" s="5" t="s">
        <x:v>132</x:v>
      </x:c>
      <x:c r="C23" s="27" t="str">
        <x:v>L’utilisateur, sur son budget personnel.</x:v>
      </x:c>
      <x:c r="D23" s="30" t="str">
        <x:v>Choix du TP : vente B2C, comme une montre connectée. Aucun remboursement nécessaire à ce modèle.</x:v>
      </x:c>
    </x:row>
    <x:row r="24" ht="65" customHeight="1">
      <x:c r="A24" s="20" t="s">
        <x:v>133</x:v>
      </x:c>
      <x:c r="B24" s="5" t="s">
        <x:v>134</x:v>
      </x:c>
      <x:c r="C24" s="27" t="str">
        <x:v>R4/R5/R8 : fausse assurance et retard de prise en charge cardiovasculaire.</x:v>
      </x:c>
      <x:c r="D24" s="30" t="str">
        <x:v>Gravité conservatrice G3 ; pas de fréquence mesurée. Validation clinique et compréhension des limites nécessaires.</x:v>
      </x:c>
    </x:row>
    <x:row r="25" ht="65" customHeight="1">
      <x:c r="A25" s="20" t="s">
        <x:v>135</x:v>
      </x:c>
      <x:c r="B25" s="5" t="s">
        <x:v>136</x:v>
      </x:c>
      <x:c r="C25" s="27" t="str">
        <x:v>R2/R3 : échauffement de la batterie ou de l’alimentation, brûlure.</x:v>
      </x:c>
      <x:c r="D25" s="30" t="str">
        <x:v>Pack protégé, détrompage, essais thermiques et électriques nécessaires.</x:v>
      </x:c>
    </x:row>
    <x:row r="26" ht="65" customHeight="1">
      <x:c r="A26" s="20" t="s">
        <x:v>137</x:v>
      </x:c>
      <x:c r="B26" s="5" t="s">
        <x:v>138</x:v>
      </x:c>
      <x:c r="C26" s="27" t="str">
        <x:v>R9 : divulgation de données physiologiques ou médicales.</x:v>
      </x:c>
      <x:c r="D26" s="30" t="str">
        <x:v>Limiter les accès et protéger les fichiers ; partage au médecin choisi par l’utilisateur.</x:v>
      </x:c>
    </x:row>
    <x:row r="27" ht="65" customHeight="1">
      <x:c r="A27" s="20">
        <x:v>10</x:v>
      </x:c>
      <x:c r="B27" s="5" t="s">
        <x:v>139</x:v>
      </x:c>
      <x:c r="C27" s="27" t="str">
        <x:v>Avant le 30 octobre : définir le score (événement, horizon, données), le protocole de validation et les décisions permises ; préparer des entretiens sur utilité, confort et prix.</x:v>
      </x:c>
      <x:c r="D27" s="30" t="str">
        <x:v>Q10 : spécifier le calcul du score et la preuve clinique manquante, puis vérifier l’intérêt du positionnement B2C.</x:v>
      </x:c>
    </x:row>
    <x:row r="29" ht="32" customHeight="1">
      <x:c r="B29" s="5" t="s">
        <x:v>140</x:v>
      </x:c>
      <x:c r="C29" s="21" t="str">
        <x:f>IF(COUNTBLANK(C5:C27)&gt;0,"Réponses manquantes : "&amp;COUNTBLANK(C5:C27),IF(C10="À déterminer","Fiche renseignée ; classe réglementaire à déterminer","Fiche renseignée ; classe proposée pour le TP, non certifiée"))</x:f>
        <x:v>Fiche renseignée ; classe proposée pour le TP, non certifiée</x:v>
      </x:c>
      <x:c r="D29" s="25"/>
    </x:row>
  </x:sheetData>
  <x:mergeCells>
    <x:mergeCell ref="C29:D29"/>
  </x:mergeCells>
  <x:dataValidations count="7">
    <x:dataValidation type="list" allowBlank="1" showErrorMessage="1" errorTitle="Valeur non prévue" error="Choisissez dans la liste." sqref="C6">
      <x:formula1>"A,A en EHPAD,B,C,D,E,F,G"</x:formula1>
    </x:dataValidation>
    <x:dataValidation type="list" allowBlank="1" errorTitle="Valeur non prévue" error="Choisissez dans la liste." sqref="C9">
      <x:formula1>"Dispositif médical,Bien-être,À discuter"</x:formula1>
    </x:dataValidation>
    <x:dataValidation type="list" allowBlank="1" showErrorMessage="1" errorTitle="Valeur non prévue" error="Choisissez dans la liste." sqref="C10">
      <x:formula1>"I,IIa,IIb,III,—,À déterminer"</x:formula1>
    </x:dataValidation>
    <x:dataValidation type="list" allowBlank="1" errorTitle="Valeur non prévue" error="Choisissez dans la liste." sqref="C12:C16">
      <x:formula1>"Oui,Non,À voir"</x:formula1>
    </x:dataValidation>
    <x:dataValidation type="list" allowBlank="1" errorTitle="Valeur non prévue" error="Choisissez dans la liste." sqref="C17">
      <x:formula1>"Oui,Non,Pas encore décidé"</x:formula1>
    </x:dataValidation>
    <x:dataValidation type="list" allowBlank="1" errorTitle="Valeur non prévue" error="Choisissez dans la liste." sqref="C21">
      <x:formula1>"Oui,Non"</x:formula1>
    </x:dataValidation>
    <x:dataValidation type="list" allowBlank="1" errorTitle="Valeur non prévue" error="Choisissez dans la liste." sqref="C22">
      <x:formula1>"B2C (patient),B2B (établissement),B2B2C (mutuelle),Remboursement LATM,PECAN (1 an),Mixte"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sheetData>
    <x:row r="1">
      <x:c r="A1" t="s">
        <x:v>141</x:v>
      </x:c>
    </x:row>
    <x:row r="2">
      <x:c r="A2" t="s">
        <x:v>142</x:v>
      </x:c>
    </x:row>
    <x:row r="3">
      <x:c r="A3" t="s">
        <x:v>143</x:v>
      </x:c>
    </x:row>
    <x:row r="4">
      <x:c r="A4" t="s">
        <x:v>144</x:v>
      </x:c>
    </x:row>
    <x:row r="5">
      <x:c r="A5" t="s">
        <x:v>145</x:v>
      </x:c>
    </x:row>
    <x:row r="6">
      <x:c r="A6" t="s">
        <x:v>146</x:v>
      </x:c>
    </x:row>
  </x:sheetData>
  <x:pageMargins left="0.7" right="0.7" top="0.75" bottom="0.75" header="0.3" footer="0.3"/>
</x:worksheet>
</file>