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d10f45968b94dea" /></Relationships>
</file>

<file path=xl/workbook.xml><?xml version="1.0" encoding="utf-8"?>
<x:workbook xmlns:x="http://schemas.openxmlformats.org/spreadsheetml/2006/main">
  <x:sheets>
    <x:sheet xmlns:r="http://schemas.openxmlformats.org/officeDocument/2006/relationships" name="Lisez-moi" sheetId="1" r:id="Rae4d7ba872e749c2"/>
    <x:sheet xmlns:r="http://schemas.openxmlformats.org/officeDocument/2006/relationships" name="Échelles" sheetId="2" r:id="R78cc37400ecf4906"/>
    <x:sheet xmlns:r="http://schemas.openxmlformats.org/officeDocument/2006/relationships" name="Analyse de risques" sheetId="3" r:id="R36fc284da3e14f4a"/>
    <x:sheet xmlns:r="http://schemas.openxmlformats.org/officeDocument/2006/relationships" name="Synthèse" sheetId="4" r:id="Ra18e78fa7c3c4d9a"/>
    <x:sheet xmlns:r="http://schemas.openxmlformats.org/officeDocument/2006/relationships" name="Suivi et sources" sheetId="5" r:id="Rc7a74995f48e41b4"/>
    <x:sheet xmlns:r="http://schemas.openxmlformats.org/officeDocument/2006/relationships" name="Failles et preuves" sheetId="6" r:id="Rfcdc97de90b547af"/>
    <x:sheet xmlns:r="http://schemas.openxmlformats.org/officeDocument/2006/relationships" name="Réglementation" sheetId="7" r:id="R24b6ecd4caec4680"/>
  </x:sheets>
</x:workbook>
</file>

<file path=xl/sharedStrings.xml><?xml version="1.0" encoding="utf-8"?>
<x:sst xmlns:x="http://schemas.openxmlformats.org/spreadsheetml/2006/main"/>
</file>

<file path=xl/styles.xml><?xml version="1.0" encoding="utf-8"?>
<x:styleSheet xmlns:x="http://schemas.openxmlformats.org/spreadsheetml/2006/main">
  <x:fonts count="22">
    <x:font>
      <x:sz val="11"/>
      <x:color theme="1"/>
      <x:name val="Calibri"/>
      <x:family val="2"/>
      <x:scheme val="minor"/>
    </x:font>
    <x:font>
      <x:b/>
      <x:sz val="14"/>
    </x:font>
    <x:font>
      <x:sz val="11"/>
      <x:color rgb="FF595959"/>
    </x:font>
    <x:font>
      <x:b/>
      <x:sz val="11"/>
    </x:font>
    <x:font>
      <x:sz val="11"/>
      <x:color rgb="FF0000FF"/>
    </x:font>
    <x:font>
      <x:b/>
      <x:sz val="11"/>
      <x:color rgb="FFFFFFFF"/>
    </x:font>
    <x:font>
      <x:i/>
      <x:color rgb="FF595959"/>
    </x:font>
    <x:font>
      <x:i/>
      <x:sz val="11"/>
      <x:color rgb="FF0000FF"/>
    </x:font>
    <x:font>
      <x:b/>
      <x:color rgb="FFFFFFFF"/>
    </x:font>
    <x:font>
      <x:b/>
      <x:sz val="11"/>
      <x:color rgb="FF8A3E00"/>
      <x:name val="Calibri"/>
      <x:family val="2"/>
      <x:scheme val="minor"/>
    </x:font>
    <x:font>
      <x:sz val="11"/>
      <x:color rgb="FF1F4E78"/>
      <x:name val="Calibri"/>
      <x:family val="2"/>
      <x:scheme val="minor"/>
    </x:font>
    <x:font>
      <x:sz val="11"/>
      <x:color theme="1"/>
      <x:name val="Calibri"/>
      <x:family val="2"/>
      <x:scheme val="minor"/>
    </x:font>
    <x:font>
      <x:sz val="11"/>
      <x:color rgb="FF0000FF"/>
    </x:font>
    <x:font>
      <x:sz val="11"/>
      <x:color rgb="FF555555"/>
      <x:name val="Calibri"/>
      <x:family val="2"/>
      <x:scheme val="minor"/>
    </x:font>
    <x:font>
      <x:sz val="11"/>
      <x:color rgb="FF8A3E00"/>
      <x:name val="Calibri"/>
      <x:family val="2"/>
      <x:scheme val="minor"/>
    </x:font>
    <x:font>
      <x:b/>
      <x:sz val="14"/>
      <x:color theme="1"/>
      <x:name val="Arial"/>
      <x:family val="2"/>
      <x:scheme val="minor"/>
    </x:font>
    <x:font>
      <x:sz val="11"/>
      <x:color theme="1"/>
      <x:name val="Arial"/>
      <x:family val="2"/>
      <x:scheme val="minor"/>
    </x:font>
    <x:font>
      <x:b/>
      <x:sz val="11"/>
      <x:color rgb="FFFFFFFF"/>
      <x:name val="Arial"/>
      <x:family val="2"/>
      <x:scheme val="minor"/>
    </x:font>
    <x:font>
      <x:sz val="11"/>
      <x:color rgb="FF555555"/>
      <x:name val="Arial"/>
      <x:family val="2"/>
      <x:scheme val="minor"/>
    </x:font>
    <x:font>
      <x:sz val="11"/>
      <x:color rgb="FF0000FF"/>
      <x:name val="Arial"/>
      <x:family val="2"/>
      <x:scheme val="minor"/>
    </x:font>
    <x:font>
      <x:b/>
      <x:sz val="12"/>
      <x:color theme="1"/>
      <x:name val="Arial"/>
      <x:family val="2"/>
      <x:scheme val="minor"/>
    </x:font>
    <x:font>
      <x:sz val="11"/>
      <x:color rgb="FF8A3E00"/>
      <x:name val="Arial"/>
      <x:family val="2"/>
      <x:scheme val="minor"/>
    </x:font>
  </x:fonts>
  <x:fills count="12">
    <x:fill>
      <x:patternFill patternType="none"/>
    </x:fill>
    <x:fill>
      <x:patternFill patternType="gray125"/>
    </x:fill>
    <x:fill>
      <x:patternFill patternType="solid">
        <x:fgColor rgb="FFDDEBF7"/>
      </x:patternFill>
    </x:fill>
    <x:fill>
      <x:patternFill patternType="solid">
        <x:fgColor rgb="FF1F4E78"/>
      </x:patternFill>
    </x:fill>
    <x:fill>
      <x:patternFill patternType="solid">
        <x:fgColor rgb="FFD6E4F2"/>
      </x:patternFill>
    </x:fill>
    <x:fill>
      <x:patternFill patternType="solid">
        <x:fgColor rgb="FFE7E6E6"/>
      </x:patternFill>
    </x:fill>
    <x:fill>
      <x:patternFill patternType="solid">
        <x:fgColor rgb="FFDCF4EA"/>
      </x:patternFill>
    </x:fill>
    <x:fill>
      <x:patternFill patternType="solid">
        <x:fgColor rgb="FFF2F2F2"/>
      </x:patternFill>
    </x:fill>
    <x:fill>
      <x:patternFill patternType="solid">
        <x:fgColor rgb="FFF6B08F"/>
      </x:patternFill>
    </x:fill>
    <x:fill>
      <x:patternFill patternType="solid">
        <x:fgColor rgb="FFEB6834"/>
      </x:patternFill>
    </x:fill>
    <x:fill>
      <x:patternFill patternType="solid">
        <x:fgColor rgb="FF1F4E78"/>
      </x:patternFill>
    </x:fill>
    <x:fill>
      <x:patternFill patternType="solid">
        <x:fgColor rgb="FFEAF2F8"/>
      </x:patternFill>
    </x:fill>
  </x:fills>
  <x:borders count="6">
    <x:border>
      <x:left/>
      <x:right/>
      <x:top/>
      <x:bottom/>
      <x:diagonal/>
    </x:border>
    <x:border>
      <x:left style="thin">
        <x:color rgb="FFBFBFBF"/>
      </x:left>
      <x:right style="thin">
        <x:color rgb="FFBFBFBF"/>
      </x:right>
      <x:top style="thin">
        <x:color rgb="FFBFBFBF"/>
      </x:top>
      <x:bottom style="thin">
        <x:color rgb="FFBFBFBF"/>
      </x:bottom>
    </x:border>
    <x:border>
      <x:left/>
      <x:right/>
      <x:top style="thin">
        <x:color rgb="FFBFBFBF"/>
      </x:top>
      <x:bottom/>
      <x:diagonal/>
    </x:border>
    <x:border>
      <x:left/>
      <x:right style="thin">
        <x:color rgb="FFBFBFBF"/>
      </x:right>
      <x:top style="thin">
        <x:color rgb="FFBFBFBF"/>
      </x:top>
      <x:bottom/>
      <x:diagonal/>
    </x:border>
    <x:border>
      <x:left/>
      <x:right/>
      <x:top style="thin">
        <x:color rgb="FFBFBFBF"/>
      </x:top>
      <x:bottom style="thin">
        <x:color rgb="FFBFBFBF"/>
      </x:bottom>
      <x:diagonal/>
    </x:border>
    <x:border>
      <x:left/>
      <x:right style="thin">
        <x:color rgb="FFBFBFBF"/>
      </x:right>
      <x:top style="thin">
        <x:color rgb="FFBFBFBF"/>
      </x:top>
      <x:bottom style="thin">
        <x:color rgb="FFBFBFBF"/>
      </x:bottom>
      <x:diagonal/>
    </x:border>
  </x:borders>
  <x:cellStyleXfs count="1">
    <x:xf numFmtId="0" fontId="0" fillId="0" borderId="0"/>
  </x:cellStyleXfs>
  <x:cellXfs count="74">
    <x:xf numFmtId="0" fontId="0" fillId="0" borderId="0" xfId="0"/>
    <x:xf numFmtId="0" fontId="1" fillId="0" borderId="0" xfId="0" applyAlignment="1">
      <x:alignment vertical="top" wrapText="1"/>
    </x:xf>
    <x:xf numFmtId="0" fontId="2" fillId="0" borderId="0" xfId="0" applyAlignment="1">
      <x:alignment vertical="top" wrapText="1"/>
    </x:xf>
    <x:xf numFmtId="0" fontId="3" fillId="0" borderId="0" xfId="0" applyAlignment="1">
      <x:alignment vertical="top" wrapText="1"/>
    </x:xf>
    <x:xf numFmtId="0" fontId="0" fillId="0" borderId="0" xfId="0" applyAlignment="1">
      <x:alignment vertical="top" wrapText="1"/>
    </x:xf>
    <x:xf numFmtId="0" fontId="4" fillId="2" borderId="0" xfId="0" applyAlignment="1">
      <x:alignment vertical="top" wrapText="1"/>
    </x:xf>
    <x:xf numFmtId="0" fontId="1" fillId="0" borderId="0" xfId="0"/>
    <x:xf numFmtId="0" fontId="5" fillId="3" borderId="1" xfId="0"/>
    <x:xf numFmtId="0" fontId="0" fillId="0" borderId="1" xfId="0" applyAlignment="1">
      <x:alignment vertical="top" wrapText="1"/>
    </x:xf>
    <x:xf numFmtId="0" fontId="3" fillId="0" borderId="0" xfId="0"/>
    <x:xf numFmtId="0" fontId="0" fillId="0" borderId="1" xfId="0"/>
    <x:xf numFmtId="0" fontId="6" fillId="0" borderId="0" xfId="0"/>
    <x:xf numFmtId="0" fontId="5" fillId="3" borderId="1" xfId="0" applyAlignment="1">
      <x:alignment horizontal="center" vertical="center" wrapText="1"/>
    </x:xf>
    <x:xf numFmtId="0" fontId="0" fillId="0" borderId="1" xfId="0" applyAlignment="1">
      <x:alignment horizontal="center" vertical="center" wrapText="1"/>
    </x:xf>
    <x:xf numFmtId="0" fontId="4" fillId="2" borderId="0" xfId="0"/>
    <x:xf numFmtId="0" fontId="3" fillId="4" borderId="0" xfId="0" applyAlignment="1">
      <x:alignment horizontal="center" vertical="center" wrapText="1"/>
    </x:xf>
    <x:xf numFmtId="0" fontId="3" fillId="5" borderId="0" xfId="0" applyAlignment="1">
      <x:alignment horizontal="center" vertical="center" wrapText="1"/>
    </x:xf>
    <x:xf numFmtId="0" fontId="3" fillId="6" borderId="0" xfId="0" applyAlignment="1">
      <x:alignment horizontal="center" vertical="center" wrapText="1"/>
    </x:xf>
    <x:xf numFmtId="0" fontId="3" fillId="7" borderId="0" xfId="0" applyAlignment="1">
      <x:alignment horizontal="center" vertical="center" wrapText="1"/>
    </x:xf>
    <x:xf numFmtId="0" fontId="7" fillId="2" borderId="1" xfId="0" applyAlignment="1">
      <x:alignment vertical="top" wrapText="1"/>
    </x:xf>
    <x:xf numFmtId="0" fontId="7" fillId="2" borderId="1" xfId="0" applyAlignment="1">
      <x:alignment horizontal="center" vertical="center" wrapText="1"/>
    </x:xf>
    <x:xf numFmtId="0" fontId="4" fillId="2" borderId="1" xfId="0" applyAlignment="1">
      <x:alignment vertical="top" wrapText="1"/>
    </x:xf>
    <x:xf numFmtId="0" fontId="4" fillId="2" borderId="1" xfId="0" applyAlignment="1">
      <x:alignment horizontal="center" vertical="center" wrapText="1"/>
    </x:xf>
    <x:xf numFmtId="0" fontId="0" fillId="8" borderId="1" xfId="0" applyAlignment="1">
      <x:alignment horizontal="center" vertical="center" wrapText="1"/>
    </x:xf>
    <x:xf numFmtId="0" fontId="8" fillId="9" borderId="1" xfId="0" applyAlignment="1">
      <x:alignment horizontal="center" vertical="center" wrapText="1"/>
    </x:xf>
    <x:xf numFmtId="0" fontId="0" fillId="6" borderId="1" xfId="0" applyAlignment="1">
      <x:alignment horizontal="center" vertical="center" wrapText="1"/>
    </x:xf>
    <x:xf numFmtId="0" fontId="2" fillId="0" borderId="0" xfId="0"/>
    <x:xf numFmtId="0" fontId="0" fillId="0" borderId="4" xfId="0"/>
    <x:xf numFmtId="0" fontId="0" fillId="0" borderId="5" xfId="0"/>
    <x:xf numFmtId="0" fontId="4"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9" fillId="0" borderId="0" xfId="0" applyNumberFormat="1" applyFont="1" applyFill="1" applyBorder="1"/>
    <x:xf numFmtId="0" fontId="9" fillId="0" borderId="0" xfId="0" applyNumberFormat="1" applyFont="1" applyFill="1" applyBorder="1" applyAlignment="1">
      <x:alignment wrapText="1"/>
    </x:xf>
    <x:xf numFmtId="0" fontId="10" fillId="0" borderId="0" xfId="0" applyNumberFormat="1" applyFont="1" applyFill="1" applyBorder="1"/>
    <x:xf numFmtId="0" fontId="10" fillId="0" borderId="0" xfId="0" applyNumberFormat="1" applyFont="1" applyFill="1" applyBorder="1" applyAlignment="1">
      <x:alignment wrapText="1"/>
    </x:xf>
    <x:xf numFmtId="0" fontId="0" fillId="0" borderId="1" xfId="0" applyNumberFormat="1" applyFont="1" applyFill="1" applyBorder="1" applyAlignment="1">
      <x:alignment horizontal="center" vertical="center" wrapText="1"/>
    </x:xf>
    <x:xf numFmtId="0" fontId="7" fillId="2" borderId="1" xfId="0" applyNumberFormat="1" applyFont="1" applyFill="1" applyBorder="1" applyAlignment="1">
      <x:alignment vertical="top" wrapText="1"/>
    </x:xf>
    <x:xf numFmtId="0" fontId="7" fillId="2" borderId="1" xfId="0" applyNumberFormat="1" applyFont="1" applyFill="1" applyBorder="1" applyAlignment="1">
      <x:alignment horizontal="center" vertical="center" wrapText="1"/>
    </x:xf>
    <x:xf numFmtId="0" fontId="4" fillId="2" borderId="1" xfId="0" applyNumberFormat="1" applyFont="1" applyFill="1" applyBorder="1" applyAlignment="1">
      <x:alignment vertical="top" wrapText="1"/>
    </x:xf>
    <x:xf numFmtId="0" fontId="4" fillId="2" borderId="1" xfId="0" applyNumberFormat="1" applyFont="1" applyFill="1" applyBorder="1" applyAlignment="1">
      <x:alignment horizontal="center" vertical="center" wrapText="1"/>
    </x:xf>
    <x:xf numFmtId="0" fontId="11" fillId="0" borderId="1" xfId="0" applyNumberFormat="1" applyFont="1" applyFill="1" applyBorder="1" applyAlignment="1">
      <x:alignment horizontal="center" vertical="center" wrapText="1"/>
    </x:xf>
    <x:xf numFmtId="0" fontId="12" fillId="2" borderId="1" xfId="0" applyNumberFormat="1" applyFont="1" applyFill="1" applyBorder="1" applyAlignment="1">
      <x:alignment vertical="top" wrapText="1"/>
    </x:xf>
    <x:xf numFmtId="0" fontId="12" fillId="2" borderId="1" xfId="0" applyNumberFormat="1" applyFont="1" applyFill="1" applyBorder="1" applyAlignment="1">
      <x:alignment horizontal="center" vertical="center" wrapText="1"/>
    </x:xf>
    <x:xf numFmtId="0" fontId="13" fillId="0" borderId="0" xfId="0" applyNumberFormat="1" applyFont="1" applyFill="1" applyBorder="1"/>
    <x:xf numFmtId="0" fontId="13" fillId="0" borderId="0" xfId="0" applyNumberFormat="1" applyFont="1" applyFill="1" applyBorder="1" applyAlignment="1">
      <x:alignment wrapText="1"/>
    </x:xf>
    <x:xf numFmtId="0" fontId="3" fillId="0" borderId="0" xfId="0" applyNumberFormat="1" applyFont="1" applyFill="1" applyBorder="1" applyAlignment="1">
      <x:alignment wrapText="1"/>
    </x:xf>
    <x:xf numFmtId="0" fontId="5" fillId="3"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14" fillId="0" borderId="0" xfId="0" applyNumberFormat="1" applyFont="1" applyFill="1" applyBorder="1"/>
    <x:xf numFmtId="0" fontId="14" fillId="0" borderId="0" xfId="0" applyNumberFormat="1" applyFont="1" applyFill="1" applyBorder="1" applyAlignment="1">
      <x:alignment wrapText="1"/>
    </x:xf>
    <x:xf numFmtId="0" fontId="0" fillId="0" borderId="0" xfId="0" applyNumberFormat="1" applyFont="1" applyFill="1" applyBorder="1"/>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15" fillId="0" borderId="0" xfId="0" applyNumberFormat="1" applyFont="1" applyFill="1" applyBorder="1"/>
    <x:xf numFmtId="0" fontId="16" fillId="0" borderId="0" xfId="0" applyNumberFormat="1" applyFont="1" applyFill="1" applyBorder="1"/>
    <x:xf numFmtId="0" fontId="16" fillId="0" borderId="0" xfId="0" applyNumberFormat="1" applyFont="1" applyFill="1" applyBorder="1" applyAlignment="1">
      <x:alignment wrapText="1"/>
    </x:xf>
    <x:xf numFmtId="0" fontId="16" fillId="0" borderId="0" xfId="0" applyNumberFormat="1" applyFont="1" applyFill="1" applyBorder="1" applyAlignment="1">
      <x:alignment vertical="top" wrapText="1"/>
    </x:xf>
    <x:xf numFmtId="0" fontId="16" fillId="10" borderId="0" xfId="0" applyNumberFormat="1" applyFont="1" applyFill="1" applyBorder="1" applyAlignment="1">
      <x:alignment vertical="top" wrapText="1"/>
    </x:xf>
    <x:xf numFmtId="0" fontId="17" fillId="10" borderId="0" xfId="0" applyNumberFormat="1" applyFont="1" applyFill="1" applyBorder="1" applyAlignment="1">
      <x:alignment vertical="top" wrapText="1"/>
    </x:xf>
    <x:xf numFmtId="0" fontId="18" fillId="0" borderId="0" xfId="0" applyNumberFormat="1" applyFont="1" applyFill="1" applyBorder="1"/>
    <x:xf numFmtId="0" fontId="18" fillId="0" borderId="0" xfId="0" applyNumberFormat="1" applyFont="1" applyFill="1" applyBorder="1" applyAlignment="1">
      <x:alignment wrapText="1"/>
    </x:xf>
    <x:xf numFmtId="0" fontId="16" fillId="11" borderId="0" xfId="0" applyNumberFormat="1" applyFont="1" applyFill="1" applyBorder="1" applyAlignment="1">
      <x:alignment vertical="top" wrapText="1"/>
    </x:xf>
    <x:xf numFmtId="0" fontId="19" fillId="11" borderId="0" xfId="0" applyNumberFormat="1" applyFont="1" applyFill="1" applyBorder="1" applyAlignment="1">
      <x:alignment vertical="top" wrapText="1"/>
    </x:xf>
    <x:xf numFmtId="0" fontId="20" fillId="0" borderId="0" xfId="0" applyNumberFormat="1" applyFont="1" applyFill="1" applyBorder="1"/>
    <x:xf numFmtId="0" fontId="0" fillId="10" borderId="0" xfId="0" applyNumberFormat="1" applyFont="1" applyFill="1" applyBorder="1"/>
    <x:xf numFmtId="0" fontId="17" fillId="10" borderId="0" xfId="0" applyNumberFormat="1" applyFont="1" applyFill="1" applyBorder="1"/>
    <x:xf numFmtId="0" fontId="21" fillId="0" borderId="0" xfId="0" applyNumberFormat="1" applyFont="1" applyFill="1" applyBorder="1"/>
    <x:xf numFmtId="0" fontId="21" fillId="0" borderId="0" xfId="0" applyNumberFormat="1" applyFont="1" applyFill="1" applyBorder="1" applyAlignment="1">
      <x:alignment wrapText="1"/>
    </x:xf>
    <x:xf numFmtId="0" fontId="17" fillId="10" borderId="0" xfId="0" applyNumberFormat="1" applyFont="1" applyFill="1" applyBorder="1" applyAlignment="1">
      <x:alignment wrapText="1"/>
    </x:xf>
  </x:cellXfs>
  <x:cellStyles count="1">
    <x:cellStyle name="Normal" xfId="0"/>
  </x:cellStyles>
  <x:dxfs count="9">
    <x:dxf>
      <x:font>
        <x:b/>
        <x:color rgb="00FFFFFF"/>
      </x:font>
      <x:fill>
        <x:patternFill>
          <x:bgColor rgb="00EB6834"/>
        </x:patternFill>
      </x:fill>
    </x:dxf>
    <x:dxf>
      <x:font>
        <x:b/>
      </x:font>
      <x:fill>
        <x:patternFill>
          <x:bgColor rgb="00F6B08F"/>
        </x:patternFill>
      </x:fill>
    </x:dxf>
    <x:dxf>
      <x:fill>
        <x:patternFill>
          <x:bgColor rgb="00DCF4EA"/>
        </x:patternFill>
      </x:fill>
    </x:dxf>
    <x:dxf>
      <x:font>
        <x:b/>
        <x:color rgb="FFFFFFFF"/>
      </x:font>
      <x:fill>
        <x:patternFill patternType="solid">
          <x:bgColor rgb="FFED6A2C"/>
        </x:patternFill>
      </x:fill>
    </x:dxf>
    <x:dxf>
      <x:font>
        <x:color rgb="FF000000"/>
      </x:font>
      <x:fill>
        <x:patternFill patternType="solid">
          <x:bgColor rgb="FFFCE4D6"/>
        </x:patternFill>
      </x:fill>
    </x:dxf>
    <x:dxf>
      <x:font>
        <x:color rgb="FF000000"/>
      </x:font>
      <x:fill>
        <x:patternFill patternType="solid">
          <x:bgColor rgb="FFE2F0D9"/>
        </x:patternFill>
      </x:fill>
    </x:dxf>
    <x:dxf>
      <x:font>
        <x:b/>
        <x:color rgb="FFFFFFFF"/>
      </x:font>
      <x:fill>
        <x:patternFill patternType="solid">
          <x:bgColor rgb="FFED6A2C"/>
        </x:patternFill>
      </x:fill>
    </x:dxf>
    <x:dxf>
      <x:font>
        <x:color rgb="FF000000"/>
      </x:font>
      <x:fill>
        <x:patternFill patternType="solid">
          <x:bgColor rgb="FFFCE4D6"/>
        </x:patternFill>
      </x:fill>
    </x:dxf>
    <x:dxf>
      <x:font>
        <x:color rgb="FF000000"/>
      </x:font>
      <x:fill>
        <x:patternFill patternType="solid">
          <x:bgColor rgb="FFE2F0D9"/>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a943c43ff2b4f1a" /><Relationship Type="http://schemas.openxmlformats.org/officeDocument/2006/relationships/theme" Target="/xl/theme/theme1.xml" Id="R9ebb88d0575c4531" /><Relationship Type="http://schemas.openxmlformats.org/officeDocument/2006/relationships/sharedStrings" Target="/xl/sharedStrings.xml" Id="R62bf5bc7057b4a70" /><Relationship Type="http://schemas.openxmlformats.org/officeDocument/2006/relationships/worksheet" Target="/xl/worksheets/sheet1.xml" Id="Rae4d7ba872e749c2" /><Relationship Type="http://schemas.openxmlformats.org/officeDocument/2006/relationships/worksheet" Target="/xl/worksheets/sheet2.xml" Id="R78cc37400ecf4906" /><Relationship Type="http://schemas.openxmlformats.org/officeDocument/2006/relationships/worksheet" Target="/xl/worksheets/sheet3.xml" Id="R36fc284da3e14f4a" /><Relationship Type="http://schemas.openxmlformats.org/officeDocument/2006/relationships/worksheet" Target="/xl/worksheets/sheet4.xml" Id="Ra18e78fa7c3c4d9a" /><Relationship Type="http://schemas.openxmlformats.org/officeDocument/2006/relationships/worksheet" Target="/xl/worksheets/sheet5.xml" Id="Rc7a74995f48e41b4" /><Relationship Type="http://schemas.openxmlformats.org/officeDocument/2006/relationships/worksheet" Target="/xl/worksheets/sheet6.xml" Id="Rfcdc97de90b547af" /><Relationship Type="http://schemas.openxmlformats.org/officeDocument/2006/relationships/worksheet" Target="/xl/worksheets/sheet7.xml" Id="R24b6ecd4caec468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5" customWidth="1"/>
  </x:cols>
  <x:sheetData>
    <x:row r="1">
      <x:c r="A1" s="54" t="str">
        <x:v>TP M3-2 — Analyse de risques du cas G</x:v>
      </x:c>
    </x:row>
    <x:row r="2">
      <x:c r="A2" s="55" t="inlineStr">
        <x:is>
          <x:t xml:space="preserve">Module 3 — vendredi 16 octobre 2026 — MBA Santé, IA &amp; IoT — Epitech — Nicolas LAURIO</x:t>
        </x:is>
      </x:c>
    </x:row>
    <x:row r="3" ht="52" customHeight="1">
      <x:c r="A3" s="56" t="str">
        <x:v>Réalignement cardiovasculaire du 19 octobre 2026. Le modèle et ses seuils sont conservés. Les 22 scénarios ne constituent pas une analyse exhaustive ni une validation du prototype.</x:v>
      </x:c>
    </x:row>
    <x:row r="4">
      <x:c r="A4" s="53" t="inlineStr">
        <x:is>
          <x:t xml:space="preserve"/>
        </x:is>
      </x:c>
    </x:row>
    <x:row r="5">
      <x:c r="A5" s="56" t="inlineStr">
        <x:is>
          <x:t xml:space="preserve">Légende des cellules</x:t>
        </x:is>
      </x:c>
    </x:row>
    <x:row r="6">
      <x:c r="A6" s="57" t="inlineStr">
        <x:is>
          <x:t xml:space="preserve">Police bleue sur fond bleu pâle = à remplir par l'équipe (listes déroulantes : type de danger, gravité, probabilité).</x:t>
        </x:is>
      </x:c>
    </x:row>
    <x:row r="7">
      <x:c r="A7" s="53" t="inlineStr">
        <x:is>
          <x:t xml:space="preserve">Police noire sur fond blanc dans les colonnes « Risque » et « Niveau » = formule : ne pas écraser.</x:t>
        </x:is>
      </x:c>
    </x:row>
    <x:row r="8">
      <x:c r="A8" s="53" t="inlineStr">
        <x:is>
          <x:t xml:space="preserve">Couleur automatique du niveau : vert pâle = faible (acceptable), orange clair = moyen (à réduire), orange foncé = élevé (inacceptable).</x:t>
        </x:is>
      </x:c>
    </x:row>
    <x:row r="9">
      <x:c r="A9" s="53" t="inlineStr">
        <x:is>
          <x:t xml:space="preserve"/>
        </x:is>
      </x:c>
    </x:row>
    <x:row r="10">
      <x:c r="A10" s="56" t="inlineStr">
        <x:is>
          <x:t xml:space="preserve">La chaîne à remplir, de gauche à droite (comme une rangée de dominos)</x:t>
        </x:is>
      </x:c>
    </x:row>
    <x:row r="11">
      <x:c r="A11" s="53" t="inlineStr">
        <x:is>
          <x:t xml:space="preserve">Danger (ce qui peut faire du mal) → séquence d'événements (ce qui s'enchaîne) → situation dangereuse (une personne est exposée) → dommage (l'atteinte à la santé).</x:t>
        </x:is>
      </x:c>
    </x:row>
    <x:row r="12">
      <x:c r="A12" s="53" t="inlineStr">
        <x:is>
          <x:t xml:space="preserve">Puis : gravité (1 à 3) × probabilité (1 à 3) = risque → niveau. Puis 3 mesures, dans l'ordre imposé : 1) conception, 2) protection, 3) information. Puis on recote : c'est le risque résiduel.</x:t>
        </x:is>
      </x:c>
    </x:row>
    <x:row r="13">
      <x:c r="A13" s="53" t="inlineStr">
        <x:is>
          <x:t xml:space="preserve"/>
        </x:is>
      </x:c>
    </x:row>
    <x:row r="14">
      <x:c r="A14" s="56" t="inlineStr">
        <x:is>
          <x:t xml:space="preserve">Onglets</x:t>
        </x:is>
      </x:c>
    </x:row>
    <x:row r="15">
      <x:c r="A15" s="53" t="inlineStr">
        <x:is>
          <x:t xml:space="preserve">Échelles : définitions de la gravité et de la probabilité, seuils des zones, matrice 3 × 3.</x:t>
        </x:is>
      </x:c>
    </x:row>
    <x:row r="16" ht="42" customHeight="1">
      <x:c r="A16" s="53" t="str">
        <x:v>Analyse de risques : dix risques initiaux conservés et douze scénarios ajoutés, numérotés 11 à 22. Colonnes et seuils du TP conservés.</x:v>
      </x:c>
    </x:row>
    <x:row r="17" ht="42" customHeight="1">
      <x:c r="A17" s="53" t="str">
        <x:v>Synthèse : matrices et comptes des 22 scénarios. Des scénarios peuvent partager une cause ; les comptes ne mesurent pas des événements indépendants.</x:v>
      </x:c>
    </x:row>
    <x:row r="18">
      <x:c r="A18" s="53" t="inlineStr">
        <x:is>
          <x:t xml:space="preserve"/>
        </x:is>
      </x:c>
    </x:row>
    <x:row r="19">
      <x:c r="A19" s="56" t="str">
        <x:v>Périmètre et relecture</x:v>
      </x:c>
    </x:row>
    <x:row r="20" ht="52" customHeight="1">
      <x:c r="A20" s="53" t="str">
        <x:v>Failles et preuves : faiblesse possible, état des connaissances, essais à réaliser, sources et choix de relecture. Les cellules « Décision » et « Notes de relecture » sont à compléter.</x:v>
      </x:c>
    </x:row>
    <x:row r="21">
      <x:c r="A21" s="30"/>
    </x:row>
    <x:row r="22" ht="64" customHeight="1">
      <x:c r="A22" s="53" t="str">
        <x:v>Deux fonctions prévues : suivi des indicateurs et tendances, ET score cardiovasculaire personnalisé. Hypothèse IIa pour une information de prévention ; conséquences des décisions à vérifier. R3 ne calcule pas ce score.</x:v>
      </x:c>
    </x:row>
    <x:row r="23" ht="64" customHeight="1">
      <x:c r="A23" s="53" t="str">
        <x:v>G et P proposés de 1 à 3. P2 = hypothèse qualitative de dommage possible, pas une fréquence observée. Résiduel cible : G inchangée et P1 seulement si les mesures et essais justifient cette réduction. Sinon conserver ou revoir la cotation initiale.</x:v>
      </x:c>
    </x:row>
    <x:row r="24" ht="64" customHeight="1">
      <x:c r="A24" s="53" t="str">
        <x:v>Scénarios médicaux : G3 conservatrice car un faux résultat peut contribuer à un retard de prise en charge avec conséquences graves. Cette hypothèse reste à examiner avec un clinicien ; elle ne détermine pas la classe MDR.</x:v>
      </x:c>
    </x:row>
    <x:row r="25" ht="64" customHeight="1">
      <x:c r="A25" s="53" t="str">
        <x:v>Les constats logiciels ne prouvent ni une fréquence de dommage ni un incident matériel. La mise à jour malveillante évoquée au n° 15 est conditionnelle ; aucune vulnérabilité du chargeur de démarrage n’a été établie.</x:v>
      </x:c>
    </x:row>
    <x:row r="26" ht="64" customHeight="1">
      <x:c r="A26" s="53" t="str">
        <x:v>Suivi et sources documente les risques initiaux (sources S0 à S8). Failles et preuves documente les ajouts (sources C0 à C11). Les cotations résiduelles restent conditionnelles aux mesures et essais.</x:v>
      </x:c>
    </x:row>
    <x:row r="28" ht="64" customHeight="1">
      <x:c r="A28" s="53" t="str">
        <x:v>Analyse de risques du dispositif : quelles pannes ou erreurs peuvent causer un dommage ? Exemple adapté : une mesure erronée peut-elle conduire à un conseil inadapté ?</x:v>
      </x:c>
    </x:row>
    <x:row r="29" ht="64" customHeight="1">
      <x:c r="A29" s="53" t="str">
        <x:v>Analyse d’impact (AIPD) : comment la collecte de signaux physiologiques et de mouvements peut-elle affecter la vie privée et les droits de la personne ? Document séparé : analyse_impact_souris_cas_G.pdf.</x:v>
      </x:c>
    </x:row>
    <x:row r="30" ht="64" customHeight="1">
      <x:c r="A30" s="53" t="str">
        <x:v>Les données restent prévues sur le PC de l’utilisateur. Historique conservé pendant le suivi, suppression possible à tout moment et prévue à la fin du suivi. Cette règle reste à implémenter. L’AIPD doit aussi évaluer nécessité, information, accès et sécurité.</x:v>
      </x:c>
    </x:row>
    <x:row r="32" ht="64" customHeight="1">
      <x:c r="A32" s="53" t="str">
        <x:v>Réglementation : deux fonctions médicales futures, hypothèse IIa pour suivi et score informatif de prévention (règle 11), matériel à examiner séparément. Les 22 risques restent liés aux exigences et vérifications. Réexaminer IIb/III selon les conséquences des décisions ; G × P ne détermine pas la classe.</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6" customWidth="1"/>
    <x:col min="2" max="2" width="22" customWidth="1"/>
    <x:col min="3" max="3" width="60" customWidth="1"/>
    <x:col min="4" max="4" width="18" customWidth="1"/>
    <x:col min="5" max="5" width="18" customWidth="1"/>
    <x:col min="6" max="6" width="18" customWidth="1"/>
  </x:cols>
  <x:sheetData>
    <x:row r="1">
      <x:c r="A1" s="6" t="inlineStr">
        <x:is>
          <x:t xml:space="preserve">Échelles de cotation (matrice d'exemple, simplifiée pour le cours)</x:t>
        </x:is>
      </x:c>
    </x:row>
    <x:row r="3">
      <x:c r="A3" s="7" t="inlineStr">
        <x:is>
          <x:t xml:space="preserve">Gravité</x:t>
        </x:is>
      </x:c>
      <x:c r="B3" s="7" t="inlineStr">
        <x:is>
          <x:t xml:space="preserve">Nom</x:t>
        </x:is>
      </x:c>
      <x:c r="C3" s="7" t="inlineStr">
        <x:is>
          <x:t xml:space="preserve">Ce que ça veut dire (exemple : cas A, EHPAD)</x:t>
        </x:is>
      </x:c>
    </x:row>
    <x:row r="4">
      <x:c r="A4" s="8" t="n">
        <x:v>1</x:v>
      </x:c>
      <x:c r="B4" s="8" t="inlineStr">
        <x:is>
          <x:t xml:space="preserve">Légère</x:t>
        </x:is>
      </x:c>
      <x:c r="C4" s="8" t="inlineStr">
        <x:is>
          <x:t xml:space="preserve">Gêne passagère, sans soins (ex. rougeur, résidente réveillée la nuit)</x:t>
        </x:is>
      </x:c>
    </x:row>
    <x:row r="5">
      <x:c r="A5" s="8" t="n">
        <x:v>2</x:v>
      </x:c>
      <x:c r="B5" s="8" t="inlineStr">
        <x:is>
          <x:t xml:space="preserve">Modérée</x:t>
        </x:is>
      </x:c>
      <x:c r="C5" s="8" t="inlineStr">
        <x:is>
          <x:t xml:space="preserve">Soins nécessaires, puis guérison (ex. plaie à panser, hématome)</x:t>
        </x:is>
      </x:c>
    </x:row>
    <x:row r="6">
      <x:c r="A6" s="8" t="n">
        <x:v>3</x:v>
      </x:c>
      <x:c r="B6" s="8" t="inlineStr">
        <x:is>
          <x:t xml:space="preserve">Grave</x:t>
        </x:is>
      </x:c>
      <x:c r="C6" s="8" t="inlineStr">
        <x:is>
          <x:t xml:space="preserve">Séquelles ou décès (ex. plusieurs heures au sol : déshydratation, escarres, hospitalisation)</x:t>
        </x:is>
      </x:c>
    </x:row>
    <x:row r="7">
      <x:c r="A7" s="7" t="inlineStr">
        <x:is>
          <x:t xml:space="preserve">Probabilité</x:t>
        </x:is>
      </x:c>
      <x:c r="B7" s="7" t="inlineStr">
        <x:is>
          <x:t xml:space="preserve">Nom</x:t>
        </x:is>
      </x:c>
      <x:c r="C7" s="7" t="inlineStr">
        <x:is>
          <x:t xml:space="preserve">Ce que ça veut dire (repère pour un EHPAD équipé)</x:t>
        </x:is>
      </x:c>
    </x:row>
    <x:row r="8">
      <x:c r="A8" s="8" t="n">
        <x:v>1</x:v>
      </x:c>
      <x:c r="B8" s="8" t="inlineStr">
        <x:is>
          <x:t xml:space="preserve">Rare</x:t>
        </x:is>
      </x:c>
      <x:c r="C8" s="8" t="inlineStr">
        <x:is>
          <x:t xml:space="preserve">On l'imagine difficilement : peut-être une fois en plusieurs années</x:t>
        </x:is>
      </x:c>
    </x:row>
    <x:row r="9">
      <x:c r="A9" s="8" t="n">
        <x:v>2</x:v>
      </x:c>
      <x:c r="B9" s="8" t="inlineStr">
        <x:is>
          <x:t xml:space="preserve">Possible</x:t>
        </x:is>
      </x:c>
      <x:c r="C9" s="8" t="inlineStr">
        <x:is>
          <x:t xml:space="preserve">Cela arrivera sans doute un jour : quelques fois par an</x:t>
        </x:is>
      </x:c>
    </x:row>
    <x:row r="10">
      <x:c r="A10" s="8" t="n">
        <x:v>3</x:v>
      </x:c>
      <x:c r="B10" s="8" t="inlineStr">
        <x:is>
          <x:t xml:space="preserve">Fréquente</x:t>
        </x:is>
      </x:c>
      <x:c r="C10" s="8" t="inlineStr">
        <x:is>
          <x:t xml:space="preserve">On s'y attend : chaque mois, voire plus souvent</x:t>
        </x:is>
      </x:c>
    </x:row>
    <x:row r="12">
      <x:c r="A12" s="9" t="inlineStr">
        <x:is>
          <x:t xml:space="preserve">Seuils des zones (risque = gravité × probabilité, de 1 à 9)</x:t>
        </x:is>
      </x:c>
    </x:row>
    <x:row r="13">
      <x:c r="A13" s="7" t="inlineStr">
        <x:is>
          <x:t xml:space="preserve">Zone</x:t>
        </x:is>
      </x:c>
      <x:c r="B13" s="7" t="inlineStr">
        <x:is>
          <x:t xml:space="preserve">Mot des slides</x:t>
        </x:is>
      </x:c>
      <x:c r="C13" s="7" t="inlineStr">
        <x:is>
          <x:t xml:space="preserve">À partir d'un risque de…</x:t>
        </x:is>
      </x:c>
    </x:row>
    <x:row r="14">
      <x:c r="A14" s="10" t="inlineStr">
        <x:is>
          <x:t xml:space="preserve">À réduire</x:t>
        </x:is>
      </x:c>
      <x:c r="B14" s="10" t="inlineStr">
        <x:is>
          <x:t xml:space="preserve">Moyen</x:t>
        </x:is>
      </x:c>
      <x:c r="C14" s="10" t="n">
        <x:v>3</x:v>
      </x:c>
      <x:c r="D14" t="inlineStr">
        <x:is>
          <x:t xml:space="preserve">Moyen : réduire autant que possible, puis justifier par le bénéfice.</x:t>
        </x:is>
      </x:c>
    </x:row>
    <x:row r="15">
      <x:c r="A15" s="10" t="inlineStr">
        <x:is>
          <x:t xml:space="preserve">Inacceptable</x:t>
        </x:is>
      </x:c>
      <x:c r="B15" s="10" t="inlineStr">
        <x:is>
          <x:t xml:space="preserve">Élevé</x:t>
        </x:is>
      </x:c>
      <x:c r="C15" s="10" t="n">
        <x:v>6</x:v>
      </x:c>
      <x:c r="D15" t="inlineStr">
        <x:is>
          <x:t xml:space="preserve">Élevé : inacceptable en l'état, il faut réduire le risque.</x:t>
        </x:is>
      </x:c>
    </x:row>
    <x:row r="16">
      <x:c r="A16" s="10" t="inlineStr">
        <x:is>
          <x:t xml:space="preserve">Acceptable</x:t>
        </x:is>
      </x:c>
      <x:c r="B16" s="10" t="inlineStr">
        <x:is>
          <x:t xml:space="preserve">Faible</x:t>
        </x:is>
      </x:c>
      <x:c r="C16" s="10" t="inlineStr">
        <x:is>
          <x:t xml:space="preserve">en dessous de 3 (1 ou 2)</x:t>
        </x:is>
      </x:c>
      <x:c r="D16" t="inlineStr">
        <x:is>
          <x:t xml:space="preserve">Faible : acceptable, on le note quand même.</x:t>
        </x:is>
      </x:c>
    </x:row>
    <x:row r="18">
      <x:c r="A18" s="9" t="inlineStr">
        <x:is>
          <x:t xml:space="preserve">Quelles cases dans quelle zone ?</x:t>
        </x:is>
      </x:c>
    </x:row>
    <x:row r="19">
      <x:c r="A19" t="inlineStr">
        <x:is>
          <x:t xml:space="preserve">Faible (acceptable) : Légère × Rare (1), Légère × Possible (2), Modérée × Rare (2).</x:t>
        </x:is>
      </x:c>
    </x:row>
    <x:row r="20">
      <x:c r="A20" t="inlineStr">
        <x:is>
          <x:t xml:space="preserve">Moyen (à réduire) : Légère × Fréquente (3), Grave × Rare (3), Modérée × Possible (4).</x:t>
        </x:is>
      </x:c>
    </x:row>
    <x:row r="21">
      <x:c r="A21" t="inlineStr">
        <x:is>
          <x:t xml:space="preserve">Élevé (inacceptable) : Modérée × Fréquente (6), Grave × Possible (6), Grave × Fréquente (9).</x:t>
        </x:is>
      </x:c>
    </x:row>
    <x:row r="22">
      <x:c r="A22" s="11" t="inlineStr">
        <x:is>
          <x:t xml:space="preserve">Conséquence : un dommage grave ne descend jamais sous « moyen ». On le réduit autant que possible, puis on justifie par le bénéfice pour le patient.</x:t>
        </x:is>
      </x:c>
    </x:row>
    <x:row r="24">
      <x:c r="A24" s="9" t="inlineStr">
        <x:is>
          <x:t xml:space="preserve">Matrice 3 × 3 (calculée)</x:t>
        </x:is>
      </x:c>
    </x:row>
    <x:row r="25" ht="42" customHeight="1">
      <x:c r="A25" s="45" t="inlineStr">
        <x:is>
          <x:t xml:space="preserve">Gravité ↓ / Probabilité →</x:t>
        </x:is>
      </x:c>
      <x:c r="B25" s="46" t="inlineStr">
        <x:is>
          <x:t xml:space="preserve">1 Rare</x:t>
        </x:is>
      </x:c>
      <x:c r="C25" s="46" t="inlineStr">
        <x:is>
          <x:t xml:space="preserve">2 Possible</x:t>
        </x:is>
      </x:c>
      <x:c r="D25" s="46" t="inlineStr">
        <x:is>
          <x:t xml:space="preserve">3 Fréquente</x:t>
        </x:is>
      </x:c>
    </x:row>
    <x:row r="26" ht="30" customHeight="1">
      <x:c r="A26" s="7" t="inlineStr">
        <x:is>
          <x:t xml:space="preserve">3 Grave</x:t>
        </x:is>
      </x:c>
      <x:c r="B26" s="13" t="str">
        <x:f>VALUE(LEFT($A26,1))*VALUE(LEFT(B$25,1))&amp;" : "&amp;IF(VALUE(LEFT($A26,1))*VALUE(LEFT(B$25,1))&gt;=$C$15,"Élevé",IF(VALUE(LEFT($A26,1))*VALUE(LEFT(B$25,1))&gt;=$C$14,"Moyen","Faible"))</x:f>
        <x:v>3 : Moyen</x:v>
      </x:c>
      <x:c r="C26" s="13" t="str">
        <x:f>VALUE(LEFT($A26,1))*VALUE(LEFT(C$25,1))&amp;" : "&amp;IF(VALUE(LEFT($A26,1))*VALUE(LEFT(C$25,1))&gt;=$C$15,"Élevé",IF(VALUE(LEFT($A26,1))*VALUE(LEFT(C$25,1))&gt;=$C$14,"Moyen","Faible"))</x:f>
        <x:v>6 : Élevé</x:v>
      </x:c>
      <x:c r="D26" s="13" t="str">
        <x:f>VALUE(LEFT($A26,1))*VALUE(LEFT(D$25,1))&amp;" : "&amp;IF(VALUE(LEFT($A26,1))*VALUE(LEFT(D$25,1))&gt;=$C$15,"Élevé",IF(VALUE(LEFT($A26,1))*VALUE(LEFT(D$25,1))&gt;=$C$14,"Moyen","Faible"))</x:f>
        <x:v>9 : Élevé</x:v>
      </x:c>
    </x:row>
    <x:row r="27" ht="30" customHeight="1">
      <x:c r="A27" s="7" t="inlineStr">
        <x:is>
          <x:t xml:space="preserve">2 Modérée</x:t>
        </x:is>
      </x:c>
      <x:c r="B27" s="13" t="str">
        <x:f>VALUE(LEFT($A27,1))*VALUE(LEFT(B$25,1))&amp;" : "&amp;IF(VALUE(LEFT($A27,1))*VALUE(LEFT(B$25,1))&gt;=$C$15,"Élevé",IF(VALUE(LEFT($A27,1))*VALUE(LEFT(B$25,1))&gt;=$C$14,"Moyen","Faible"))</x:f>
        <x:v>2 : Faible</x:v>
      </x:c>
      <x:c r="C27" s="13" t="str">
        <x:f>VALUE(LEFT($A27,1))*VALUE(LEFT(C$25,1))&amp;" : "&amp;IF(VALUE(LEFT($A27,1))*VALUE(LEFT(C$25,1))&gt;=$C$15,"Élevé",IF(VALUE(LEFT($A27,1))*VALUE(LEFT(C$25,1))&gt;=$C$14,"Moyen","Faible"))</x:f>
        <x:v>4 : Moyen</x:v>
      </x:c>
      <x:c r="D27" s="13" t="str">
        <x:f>VALUE(LEFT($A27,1))*VALUE(LEFT(D$25,1))&amp;" : "&amp;IF(VALUE(LEFT($A27,1))*VALUE(LEFT(D$25,1))&gt;=$C$15,"Élevé",IF(VALUE(LEFT($A27,1))*VALUE(LEFT(D$25,1))&gt;=$C$14,"Moyen","Faible"))</x:f>
        <x:v>6 : Élevé</x:v>
      </x:c>
    </x:row>
    <x:row r="28" ht="30" customHeight="1">
      <x:c r="A28" s="7" t="inlineStr">
        <x:is>
          <x:t xml:space="preserve">1 Légère</x:t>
        </x:is>
      </x:c>
      <x:c r="B28" s="13" t="str">
        <x:f>VALUE(LEFT($A28,1))*VALUE(LEFT(B$25,1))&amp;" : "&amp;IF(VALUE(LEFT($A28,1))*VALUE(LEFT(B$25,1))&gt;=$C$15,"Élevé",IF(VALUE(LEFT($A28,1))*VALUE(LEFT(B$25,1))&gt;=$C$14,"Moyen","Faible"))</x:f>
        <x:v>1 : Faible</x:v>
      </x:c>
      <x:c r="C28" s="13" t="str">
        <x:f>VALUE(LEFT($A28,1))*VALUE(LEFT(C$25,1))&amp;" : "&amp;IF(VALUE(LEFT($A28,1))*VALUE(LEFT(C$25,1))&gt;=$C$15,"Élevé",IF(VALUE(LEFT($A28,1))*VALUE(LEFT(C$25,1))&gt;=$C$14,"Moyen","Faible"))</x:f>
        <x:v>2 : Faible</x:v>
      </x:c>
      <x:c r="D28" s="13" t="str">
        <x:f>VALUE(LEFT($A28,1))*VALUE(LEFT(D$25,1))&amp;" : "&amp;IF(VALUE(LEFT($A28,1))*VALUE(LEFT(D$25,1))&gt;=$C$15,"Élevé",IF(VALUE(LEFT($A28,1))*VALUE(LEFT(D$25,1))&gt;=$C$14,"Moyen","Faible"))</x:f>
        <x:v>3 : Moyen</x:v>
      </x:c>
    </x:row>
    <x:row r="30" ht="24" customHeight="1">
      <x:c r="A30" s="30" t="str">
        <x:v>Les repères EHPAD ci-dessus appartiennent au cours. Pour cette analyse, les probabilités sont des propositions qualitatives à relire, sans fréquence mesurée sur la souris. Les seuils du cours restent inchangés.</x:v>
      </x:c>
      <x:c r="B30" s="30"/>
      <x:c r="C30" s="30"/>
      <x:c r="D30" s="30"/>
    </x:row>
    <x:row r="31" ht="24" customHeight="1">
      <x:c r="A31" s="30"/>
      <x:c r="B31" s="30"/>
      <x:c r="C31" s="30"/>
      <x:c r="D31" s="30"/>
    </x:row>
    <x:row r="32" ht="24" customHeight="1">
      <x:c r="A32" s="30"/>
      <x:c r="B32" s="30"/>
      <x:c r="C32" s="30"/>
      <x:c r="D32" s="30"/>
    </x:row>
  </x:sheetData>
  <x:mergeCells>
    <x:mergeCell ref="A30:D32"/>
  </x:mergeCells>
  <x:conditionalFormatting sqref="B26:D28">
    <x:cfRule type="expression" dxfId="0" priority="1">
      <x:formula>ISNUMBER(SEARCH("Élevé",B26))</x:formula>
    </x:cfRule>
    <x:cfRule type="expression" dxfId="1" priority="2">
      <x:formula>ISNUMBER(SEARCH("Moyen",B26))</x:formula>
    </x:cfRule>
    <x:cfRule type="expression" dxfId="2" priority="3">
      <x:formula>ISNUMBER(SEARCH("Faible",B26))</x:formula>
    </x:cfRule>
  </x:conditionalFormatting>
  <x:pageMargins left="0.7" right="0.7" top="0.75" bottom="0.75" header="0.3" footer="0.3"/>
</x:worksheet>
</file>

<file path=xl/worksheets/sheet3.xml><?xml version="1.0" encoding="utf-8"?>
<x:worksheet xmlns:x="http://schemas.openxmlformats.org/spreadsheetml/2006/main">
  <x:sheetViews>
    <x:sheetView workbookViewId="0">
      <x:pane xSplit="3" ySplit="8" topLeftCell="D9" activePane="bottomRight" state="frozen"/>
    </x:sheetView>
  </x:sheetViews>
  <x:sheetFormatPr baseColWidth="8" defaultRowHeight="15"/>
  <x:cols>
    <x:col min="1" max="1" width="5" customWidth="1"/>
    <x:col min="2" max="2" width="15" customWidth="1"/>
    <x:col min="3" max="3" width="28" customWidth="1"/>
    <x:col min="4" max="4" width="38" customWidth="1"/>
    <x:col min="5" max="5" width="30" customWidth="1"/>
    <x:col min="6" max="6" width="30" customWidth="1"/>
    <x:col min="7" max="7" width="10" customWidth="1"/>
    <x:col min="8" max="8" width="11" customWidth="1"/>
    <x:col min="9" max="9" width="10" customWidth="1"/>
    <x:col min="10" max="10" width="20" customWidth="1"/>
    <x:col min="11" max="11" width="38" customWidth="1"/>
    <x:col min="12" max="12" width="34" customWidth="1"/>
    <x:col min="13" max="13" width="32" customWidth="1"/>
    <x:col min="14" max="14" width="10" customWidth="1"/>
    <x:col min="15" max="15" width="11" customWidth="1"/>
    <x:col min="16" max="16" width="10" customWidth="1"/>
    <x:col min="17" max="17" width="20" customWidth="1"/>
    <x:col min="18" max="18" width="46" customWidth="1"/>
  </x:cols>
  <x:sheetData>
    <x:row r="1">
      <x:c r="A1" s="6" t="str">
        <x:v>Analyse de risques — Cas G — 22 scénarios</x:v>
      </x:c>
    </x:row>
    <x:row r="2">
      <x:c r="A2" s="9" t="inlineStr">
        <x:is>
          <x:t xml:space="preserve">Équipe (numéro)</x:t>
        </x:is>
      </x:c>
      <x:c r="C2" s="14" t="str">
        <x:v>eq02 — Équipe 2</x:v>
      </x:c>
    </x:row>
    <x:row r="3">
      <x:c r="A3" s="9" t="inlineStr">
        <x:is>
          <x:t xml:space="preserve">Cas d'usage</x:t>
        </x:is>
      </x:c>
      <x:c r="C3" s="14" t="str">
        <x:v>G — Souris P4 — batterie unique 1 500 mAh</x:v>
      </x:c>
    </x:row>
    <x:row r="4" ht="88" customHeight="1">
      <x:c r="A4" s="9" t="inlineStr">
        <x:is>
          <x:t xml:space="preserve">Finalité en une phrase</x:t>
        </x:is>
      </x:c>
      <x:c r="C4" s="29" t="str">
        <x:v>Suivre les indicateurs physiologiques et leurs tendances pendant l’utilisation de l’ordinateur, et estimer un risque personnalisé de complications cardiovasculaires en lien avec le stress et la sédentarité, afin d’informer la prévention et de permettre un partage choisi avec un professionnel de santé.</x:v>
      </x:c>
      <x:c r="D4" s="30"/>
      <x:c r="E4" s="30"/>
      <x:c r="F4" s="30"/>
    </x:row>
    <x:row r="5" ht="30" customHeight="1">
      <x:c r="A5" s="32" t="str">
        <x:v>22 scénarios : risques initiaux 1 à 10 et ajouts 11 à 22. Cotations à relire. Résiduels = cibles après mesures vérifiées, pas sécurité démontrée du prototype.</x:v>
      </x:c>
      <x:c r="B5" s="32"/>
      <x:c r="C5" s="32"/>
      <x:c r="D5" s="32"/>
      <x:c r="E5" s="32"/>
      <x:c r="F5" s="32"/>
      <x:c r="G5" s="32"/>
      <x:c r="H5" s="32"/>
      <x:c r="I5" s="32"/>
      <x:c r="J5" s="32"/>
      <x:c r="K5" s="32"/>
      <x:c r="L5" s="32"/>
      <x:c r="M5" s="32"/>
      <x:c r="N5" s="32"/>
      <x:c r="O5" s="32"/>
      <x:c r="P5" s="32"/>
      <x:c r="Q5" s="32"/>
      <x:c r="R5" s="32"/>
    </x:row>
    <x:row r="6" ht="30" customHeight="1">
      <x:c r="A6" s="34" t="str">
        <x:v>Analyse de risques du dispositif : pannes, erreurs et dommages. Analyse d’impact sur la vie privée (AIPD) : document PDF séparé, adapté aux données de la souris sur le PC utilisateur.</x:v>
      </x:c>
      <x:c r="B6" s="34"/>
      <x:c r="C6" s="34"/>
      <x:c r="D6" s="34"/>
      <x:c r="E6" s="34"/>
      <x:c r="F6" s="34"/>
      <x:c r="G6" s="34"/>
      <x:c r="H6" s="34"/>
      <x:c r="I6" s="34"/>
      <x:c r="J6" s="34"/>
      <x:c r="K6" s="34"/>
      <x:c r="L6" s="34"/>
      <x:c r="M6" s="34"/>
      <x:c r="N6" s="34"/>
      <x:c r="O6" s="34"/>
      <x:c r="P6" s="34"/>
      <x:c r="Q6" s="34"/>
      <x:c r="R6" s="34"/>
    </x:row>
    <x:row r="7">
      <x:c r="A7" s="15" t="inlineStr">
        <x:is>
          <x:t xml:space="preserve">1. LA CHAÎNE DU RISQUE (dominos)</x:t>
        </x:is>
      </x:c>
      <x:c r="G7" s="16" t="inlineStr">
        <x:is>
          <x:t xml:space="preserve">2. COTATION AVANT MESURES</x:t>
        </x:is>
      </x:c>
      <x:c r="K7" s="17" t="inlineStr">
        <x:is>
          <x:t xml:space="preserve">3. MESURES, DANS L'ORDRE IMPOSÉ</x:t>
        </x:is>
      </x:c>
      <x:c r="N7" s="16" t="str">
        <x:v>4. RÉSIDUEL CIBLE — APRÈS VÉRIFICATION</x:v>
      </x:c>
      <x:c r="R7" s="18" t="inlineStr">
        <x:is>
          <x:t xml:space="preserve">5. JUSTIFIER</x:t>
        </x:is>
      </x:c>
    </x:row>
    <x:row r="8" ht="48" customHeight="1">
      <x:c r="A8" s="12" t="inlineStr">
        <x:is>
          <x:t xml:space="preserve">N°</x:t>
        </x:is>
      </x:c>
      <x:c r="B8" s="12" t="inlineStr">
        <x:is>
          <x:t xml:space="preserve">Type de danger</x:t>
        </x:is>
      </x:c>
      <x:c r="C8" s="12" t="inlineStr">
        <x:is>
          <x:t xml:space="preserve">Danger</x:t>
        </x:is>
      </x:c>
      <x:c r="D8" s="12" t="inlineStr">
        <x:is>
          <x:t xml:space="preserve">Séquence d'événements</x:t>
        </x:is>
      </x:c>
      <x:c r="E8" s="12" t="inlineStr">
        <x:is>
          <x:t xml:space="preserve">Situation dangereuse</x:t>
        </x:is>
      </x:c>
      <x:c r="F8" s="12" t="inlineStr">
        <x:is>
          <x:t xml:space="preserve">Dommage</x:t>
        </x:is>
      </x:c>
      <x:c r="G8" s="12" t="inlineStr">
        <x:is>
          <x:t xml:space="preserve">Gravité (1-3)</x:t>
        </x:is>
      </x:c>
      <x:c r="H8" s="12" t="inlineStr">
        <x:is>
          <x:t xml:space="preserve">Probabilité (1-3)</x:t>
        </x:is>
      </x:c>
      <x:c r="I8" s="12" t="inlineStr">
        <x:is>
          <x:t xml:space="preserve">Risque = G × P</x:t>
        </x:is>
      </x:c>
      <x:c r="J8" s="12" t="inlineStr">
        <x:is>
          <x:t xml:space="preserve">Niveau</x:t>
        </x:is>
      </x:c>
      <x:c r="K8" s="12" t="inlineStr">
        <x:is>
          <x:t xml:space="preserve">Mesure 1 — sécurité par la conception</x:t>
        </x:is>
      </x:c>
      <x:c r="L8" s="12" t="inlineStr">
        <x:is>
          <x:t xml:space="preserve">Mesure 2 — protection (alarme, garde-fou)</x:t>
        </x:is>
      </x:c>
      <x:c r="M8" s="12" t="inlineStr">
        <x:is>
          <x:t xml:space="preserve">Mesure 3 — information (notice, formation)</x:t>
        </x:is>
      </x:c>
      <x:c r="N8" s="12" t="inlineStr">
        <x:is>
          <x:t xml:space="preserve">Gravité après</x:t>
        </x:is>
      </x:c>
      <x:c r="O8" s="12" t="inlineStr">
        <x:is>
          <x:t xml:space="preserve">Probabilité après</x:t>
        </x:is>
      </x:c>
      <x:c r="P8" s="12" t="inlineStr">
        <x:is>
          <x:t xml:space="preserve">Risque résiduel</x:t>
        </x:is>
      </x:c>
      <x:c r="Q8" s="12" t="inlineStr">
        <x:is>
          <x:t xml:space="preserve">Niveau résiduel</x:t>
        </x:is>
      </x:c>
      <x:c r="R8" s="12" t="str">
        <x:v>Justification, lien avec le TP initial et limites</x:v>
      </x:c>
    </x:row>
    <x:row r="9" ht="140" customHeight="1">
      <x:c r="A9" s="40" t="n">
        <x:v>1</x:v>
      </x:c>
      <x:c r="B9" s="41" t="str">
        <x:v>Technique</x:v>
      </x:c>
      <x:c r="C9" s="41" t="str">
        <x:v>Perte d'alimentation ou de liaison : suivi interrompu</x:v>
      </x:c>
      <x:c r="D9" s="41" t="str">
        <x:v>Batterie unique épuisée ou liaison BLE perdue → acquisition arrêtée → anciennes données prises pour un suivi continu</x:v>
      </x:c>
      <x:c r="E9" s="41" t="str">
        <x:v>L’utilisateur ou le professionnel évalue les tendances physiologiques à partir d’un enregistrement incomplet présenté comme continu.</x:v>
      </x:c>
      <x:c r="F9" s="41" t="str">
        <x:v>Retard de consultation ou de prise en charge cardiovasculaire après une fausse assurance, avec aggravation grave, séquelles ou décès possibles dans le scénario défavorable.</x:v>
      </x:c>
      <x:c r="G9" s="42" t="n">
        <x:v>3</x:v>
      </x:c>
      <x:c r="H9" s="42" t="n">
        <x:v>2</x:v>
      </x:c>
      <x:c r="I9" s="40" t="n">
        <x:f>IF(OR(G9="",H9=""),"",G9*H9)</x:f>
        <x:v>6</x:v>
      </x:c>
      <x:c r="J9" s="40" t="str">
        <x:f>IF(I9="","",IF(I9&gt;='Échelles'!$C$15,"Élevé : inacceptable",IF(I9&gt;='Échelles'!$C$14,"Moyen : à réduire","Faible : acceptable")))</x:f>
        <x:v>Élevé : inacceptable</x:v>
      </x:c>
      <x:c r="K9" s="41" t="str">
        <x:v>Horodater chaque mesure, invalider les données anciennes et mesurer l'autonomie réelle avec souris, capteurs et voyants ; dimensionner une marge.</x:v>
      </x:c>
      <x:c r="L9" s="41" t="str">
        <x:v>Afficher « mesure indisponible » et la durée de coupure ; ajouter une surveillance de batterie avec seuil vérifié, distincte des LED de charge.</x:v>
      </x:c>
      <x:c r="M9" s="41" t="str">
        <x:v>Expliquer la recharge selon l'autonomie mesurée et la reprise d'acquisition ; ne pas interpréter une période sans données. Aucun résultat ne doit être utilisé pour exclure une complication ou différer une consultation devant des symptômes.</x:v>
      </x:c>
      <x:c r="N9" s="42" t="n">
        <x:v>3</x:v>
      </x:c>
      <x:c r="O9" s="42" t="n">
        <x:v>1</x:v>
      </x:c>
      <x:c r="P9" s="40" t="n">
        <x:f>IF(OR(N9="",O9=""),"",N9*O9)</x:f>
        <x:v>3</x:v>
      </x:c>
      <x:c r="Q9" s="40" t="str">
        <x:f>IF(P9="","",IF(P9&gt;='Échelles'!$C$15,"Élevé : inacceptable",IF(P9&gt;='Échelles'!$C$14,"Moyen : à réduire","Faible : acceptable")))</x:f>
        <x:v>Moyen : à réduire</x:v>
      </x:c>
      <x:c r="R9" s="41" t="str">
        <x:v>G3 conservatrice pour le scénario cardiovasculaire défavorable ; le périmètre ne permet pas d’exclure séquelles ou décès après une fausse assurance. P2 qualitative, sans fréquence mesurée. Cible G3 × P1 = 3, moyenne, uniquement si les mesures et essais justifient P1 ; acceptation différée. Le score du TP ne détermine pas la classe MDR. Vérification T1 et validation du parcours médical nécessaires.</x:v>
      </x:c>
    </x:row>
    <x:row r="10" ht="140" customHeight="1">
      <x:c r="A10" s="40" t="n">
        <x:v>2</x:v>
      </x:c>
      <x:c r="B10" s="41" t="str">
        <x:v>Technique</x:v>
      </x:c>
      <x:c r="C10" s="41" t="str">
        <x:v>Énergie de la cellule Li-ion : échauffement ou incendie</x:v>
      </x:c>
      <x:c r="D10" s="41" t="str">
        <x:v>F15 nue sans protection qualifiée, fil pincé ou charge inadaptée → court-circuit/surcharge → échauffement dans la coque</x:v>
      </x:c>
      <x:c r="E10" s="41" t="str">
        <x:v>La main reste sur une coque chaude ou l'utilisateur est exposé à un départ de feu.</x:v>
      </x:c>
      <x:c r="F10" s="41" t="str">
        <x:v>Brûlure grave de la main pouvant laisser des séquelles.</x:v>
      </x:c>
      <x:c r="G10" s="42" t="n">
        <x:v>3</x:v>
      </x:c>
      <x:c r="H10" s="42" t="n">
        <x:v>2</x:v>
      </x:c>
      <x:c r="I10" s="40" t="n">
        <x:f>IF(OR(G10="",H10=""),"",G10*H10)</x:f>
        <x:v>6</x:v>
      </x:c>
      <x:c r="J10" s="40" t="str">
        <x:f>IF(I10="","",IF(I10&gt;='Échelles'!$C$15,"Élevé : inacceptable",IF(I10&gt;='Échelles'!$C$14,"Moyen : à réduire","Faible : acceptable")))</x:f>
        <x:v>Élevé : inacceptable</x:v>
      </x:c>
      <x:c r="K10" s="41" t="str">
        <x:v>Choisir un pack 1S protégé et traçable ; vérifier le courant de charge autorisé, isoler et immobiliser le pack sans compression ni fil pincé.</x:v>
      </x:c>
      <x:c r="L10" s="41" t="str">
        <x:v>Qualifier la protection du pack et F1 près de la cellule ; ajouter un contrôle thermique adapté avec coupure, puis vérifier les défauts au banc.</x:v>
      </x:c>
      <x:c r="M10" s="41" t="str">
        <x:v>Ne pas charger un pack abîmé, ne pas modifier les protections ; arrêter l'utilisation si chauffe anormale et faire contrôler le montage.</x:v>
      </x:c>
      <x:c r="N10" s="42" t="n">
        <x:v>3</x:v>
      </x:c>
      <x:c r="O10" s="42" t="n">
        <x:v>1</x:v>
      </x:c>
      <x:c r="P10" s="40" t="n">
        <x:f>IF(OR(N10="",O10=""),"",N10*O10)</x:f>
        <x:v>3</x:v>
      </x:c>
      <x:c r="Q10" s="40" t="str">
        <x:f>IF(P10="","",IF(P10&gt;='Échelles'!$C$15,"Élevé : inacceptable",IF(P10&gt;='Échelles'!$C$14,"Moyen : à réduire","Faible : acceptable")))</x:f>
        <x:v>Moyen : à réduire</x:v>
      </x:c>
      <x:c r="R10" s="41" t="str">
        <x:v>G3 : séquelles possibles ; P2 conservatrice tant que le pack et son montage restent non qualifiés. Cible 3×1=3, moyen : aucun bénéfice clinique démontré ne permet une acceptation réelle aujourd'hui. Bénéfice espéré de la prévention cardiovasculaire à prouver ; protections et thermique à vérifier T2. S'il reste trop risqué, revoir l'alimentation [S2,S3].</x:v>
      </x:c>
    </x:row>
    <x:row r="11" ht="140" customHeight="1">
      <x:c r="A11" s="40" t="n">
        <x:v>3</x:v>
      </x:c>
      <x:c r="B11" s="41" t="str">
        <x:v>Technique</x:v>
      </x:c>
      <x:c r="C11" s="41" t="str">
        <x:v>Alimentations USB mises en parallèle ou tension incorrecte</x:v>
      </x:c>
      <x:c r="D11" s="41" t="str">
        <x:v>USB de programmation branché avec le 5 V externe, JP2 fermé ou erreur de rail → retour de courant / composant en défaut → échauffement</x:v>
      </x:c>
      <x:c r="E11" s="41" t="str">
        <x:v>L'utilisateur touche la coque ou les contacts GSR alors qu'un défaut électrique est présent.</x:v>
      </x:c>
      <x:c r="F11" s="41" t="str">
        <x:v>Brûlure grave au contact d'une partie surchauffée ; séquelles possibles.</x:v>
      </x:c>
      <x:c r="G11" s="42" t="n">
        <x:v>3</x:v>
      </x:c>
      <x:c r="H11" s="42" t="n">
        <x:v>2</x:v>
      </x:c>
      <x:c r="I11" s="40" t="n">
        <x:f>IF(OR(G11="",H11=""),"",G11*H11)</x:f>
        <x:v>6</x:v>
      </x:c>
      <x:c r="J11" s="40" t="str">
        <x:f>IF(I11="","",IF(I11&gt;='Échelles'!$C$15,"Élevé : inacceptable",IF(I11&gt;='Échelles'!$C$14,"Moyen : à réduire","Faible : acceptable")))</x:f>
        <x:v>Élevé : inacceptable</x:v>
      </x:c>
      <x:c r="K11" s="41" t="str">
        <x:v>Empêcher matériellement les sources simultanées ; détromper 5 V/1,5 V et la polarité ; rendre le port de service interne. Prévoir un verrouillage de l'accès aux contacts pendant la charge.</x:v>
      </x:c>
      <x:c r="L11" s="41" t="str">
        <x:v>Contrôler rails, isolement et retours de courant ; limiter le courant au premier démarrage. Vérifier le verrouillage et l'arrêt en défaut.</x:v>
      </x:c>
      <x:c r="M11" s="41" t="str">
        <x:v>Avant programmation : ouvrir JP2 et retirer le câble de charge. Essais de contact sur batterie seule, tous les câbles USB retirés.</x:v>
      </x:c>
      <x:c r="N11" s="42" t="n">
        <x:v>3</x:v>
      </x:c>
      <x:c r="O11" s="42" t="n">
        <x:v>1</x:v>
      </x:c>
      <x:c r="P11" s="40" t="n">
        <x:f>IF(OR(N11="",O11=""),"",N11*O11)</x:f>
        <x:v>3</x:v>
      </x:c>
      <x:c r="Q11" s="40" t="str">
        <x:f>IF(P11="","",IF(P11&gt;='Échelles'!$C$15,"Élevé : inacceptable",IF(P11&gt;='Échelles'!$C$14,"Moyen : à réduire","Faible : acceptable")))</x:f>
        <x:v>Moyen : à réduire</x:v>
      </x:c>
      <x:c r="R11" s="41" t="str">
        <x:v>G3 : brûlure avec séquelles ; P2 : erreur de branchement plausible sur un banc à plusieurs ports. Cible 3×1=3, moyen, uniquement après détrompage et essais T3. Bénéfice attendu : batterie unique rechargeable ; il ne justifie pas une mise en service actuelle. Revoir le circuit si le défaut reste accessible [S3,S7,S8].</x:v>
      </x:c>
    </x:row>
    <x:row r="12" ht="140" customHeight="1">
      <x:c r="A12" s="40" t="n">
        <x:v>4</x:v>
      </x:c>
      <x:c r="B12" s="41" t="str">
        <x:v>Technique</x:v>
      </x:c>
      <x:c r="C12" s="41" t="str">
        <x:v>Mesures fausses prises pour des mesures valides</x:v>
      </x:c>
      <x:c r="D12" s="41" t="str">
        <x:v>Mouvement, mauvais contact PPG/GSR, température de coque ou capteur défaillant → signal biaisé → donnée conservée comme fiable</x:v>
      </x:c>
      <x:c r="E12" s="41" t="str">
        <x:v>L’utilisateur ou le professionnel reçoit un indicateur erroné et adapte la prise en charge sur cette base.</x:v>
      </x:c>
      <x:c r="F12" s="41" t="str">
        <x:v>Retard de consultation ou de prise en charge cardiovasculaire après une fausse assurance, avec aggravation grave, séquelles ou décès possibles dans le scénario défavorable.</x:v>
      </x:c>
      <x:c r="G12" s="42" t="n">
        <x:v>3</x:v>
      </x:c>
      <x:c r="H12" s="42" t="n">
        <x:v>2</x:v>
      </x:c>
      <x:c r="I12" s="40" t="n">
        <x:f>IF(OR(G12="",H12=""),"",G12*H12)</x:f>
        <x:v>6</x:v>
      </x:c>
      <x:c r="J12" s="40" t="str">
        <x:f>IF(I12="","",IF(I12&gt;='Échelles'!$C$15,"Élevé : inacceptable",IF(I12&gt;='Échelles'!$C$14,"Moyen : à réduire","Faible : acceptable")))</x:f>
        <x:v>Élevé : inacceptable</x:v>
      </x:c>
      <x:c r="K12" s="41" t="str">
        <x:v>Valider les capteurs dans leur position réelle ; rejeter les données invalides ou anciennes ; ne pas transformer directement PPG, GSR, SpO2 ou température cutanée en diagnostic de stress ou en risque cardiovasculaire.</x:v>
      </x:c>
      <x:c r="L12" s="41" t="str">
        <x:v>Afficher la qualité et « mesure indisponible » ; bloquer les recommandations quand les signaux requis sont insuffisants ou incohérents.</x:v>
      </x:c>
      <x:c r="M12" s="41" t="str">
        <x:v>Expliquer contact, mouvement et limites : GSR non spécifique du stress, température cutanée non centrale, immobilité non équivalente à sédentarité. Ne pas exclure une complication sur ces seules mesures.</x:v>
      </x:c>
      <x:c r="N12" s="42" t="n">
        <x:v>3</x:v>
      </x:c>
      <x:c r="O12" s="42" t="n">
        <x:v>1</x:v>
      </x:c>
      <x:c r="P12" s="40" t="n">
        <x:f>IF(OR(N12="",O12=""),"",N12*O12)</x:f>
        <x:v>3</x:v>
      </x:c>
      <x:c r="Q12" s="40" t="str">
        <x:f>IF(P12="","",IF(P12&gt;='Échelles'!$C$15,"Élevé : inacceptable",IF(P12&gt;='Échelles'!$C$14,"Moyen : à réduire","Faible : acceptable")))</x:f>
        <x:v>Moyen : à réduire</x:v>
      </x:c>
      <x:c r="R12" s="41" t="str">
        <x:v>G3 conservatrice pour le scénario cardiovasculaire défavorable ; le périmètre ne permet pas d’exclure séquelles ou décès après une fausse assurance. P2 qualitative, sans fréquence mesurée. Cible G3 × P1 = 3, moyenne, uniquement si les mesures et essais justifient P1 ; acceptation différée. Le score du TP ne détermine pas la classe MDR. Vérification T4 et validation du parcours médical nécessaires.</x:v>
      </x:c>
    </x:row>
    <x:row r="13" ht="140" customHeight="1">
      <x:c r="A13" s="40" t="n">
        <x:v>5</x:v>
      </x:c>
      <x:c r="B13" s="41" t="str">
        <x:v>Technique</x:v>
      </x:c>
      <x:c r="C13" s="41" t="str">
        <x:v>Score cardiovasculaire personnalisé erroné</x:v>
      </x:c>
      <x:c r="D13" s="41" t="str">
        <x:v>Signaux ou données complémentaires inadéquats, modèle non validé → risque personnalisé mal estimé → score interprété à tort comme un diagnostic ou une garantie de sécurité</x:v>
      </x:c>
      <x:c r="E13" s="41" t="str">
        <x:v>L’utilisateur ou le professionnel se fie au score personnalisé pour décider du suivi, au-delà de son rôle prévu d’information de prévention.</x:v>
      </x:c>
      <x:c r="F13" s="41" t="str">
        <x:v>Retard de consultation ou de prise en charge cardiovasculaire après une fausse assurance, avec aggravation grave, séquelles ou décès possibles dans le scénario défavorable.</x:v>
      </x:c>
      <x:c r="G13" s="42" t="n">
        <x:v>3</x:v>
      </x:c>
      <x:c r="H13" s="42" t="n">
        <x:v>2</x:v>
      </x:c>
      <x:c r="I13" s="40" t="n">
        <x:f>IF(OR(G13="",H13=""),"",G13*H13)</x:f>
        <x:v>6</x:v>
      </x:c>
      <x:c r="J13" s="40" t="str">
        <x:f>IF(I13="","",IF(I13&gt;='Échelles'!$C$15,"Élevé : inacceptable",IF(I13&gt;='Échelles'!$C$14,"Moyen : à réduire","Faible : acceptable")))</x:f>
        <x:v>Élevé : inacceptable</x:v>
      </x:c>
      <x:c r="K13" s="41" t="str">
        <x:v>Définir population, complications visées, horizon et décision ; valider séparément mesures, indicateurs de stress et valeur prédictive cardiovasculaire sur données indépendantes.</x:v>
      </x:c>
      <x:c r="L13" s="41" t="str">
        <x:v>Exiger une revue professionnelle et bloquer les sorties hors domaine ; rendre visibles incertitude, données utilisées et version du logiciel.</x:v>
      </x:c>
      <x:c r="M13" s="41" t="str">
        <x:v>Préciser que le prototype actuel n'émet pas de recommandation clinique validée ; ne pas modifier un traitement sur ses seuls résultats. Aucun résultat ne doit être utilisé pour exclure une complication ou différer une consultation devant des symptômes.</x:v>
      </x:c>
      <x:c r="N13" s="42" t="n">
        <x:v>3</x:v>
      </x:c>
      <x:c r="O13" s="42" t="n">
        <x:v>1</x:v>
      </x:c>
      <x:c r="P13" s="40" t="n">
        <x:f>IF(OR(N13="",O13=""),"",N13*O13)</x:f>
        <x:v>3</x:v>
      </x:c>
      <x:c r="Q13" s="40" t="str">
        <x:f>IF(P13="","",IF(P13&gt;='Échelles'!$C$15,"Élevé : inacceptable",IF(P13&gt;='Échelles'!$C$14,"Moyen : à réduire","Faible : acceptable")))</x:f>
        <x:v>Moyen : à réduire</x:v>
      </x:c>
      <x:c r="R13" s="41" t="str">
        <x:v>G3 conservatrice pour le scénario cardiovasculaire défavorable ; le périmètre ne permet pas d’exclure séquelles ou décès après une fausse assurance. P2 qualitative, sans fréquence mesurée. Cible G3 × P1 = 3, moyenne, uniquement si les mesures et essais justifient P1 ; acceptation différée. Le score du TP ne détermine pas la classe MDR. Vérification T5 et validation du parcours médical nécessaires.</x:v>
      </x:c>
    </x:row>
    <x:row r="14" ht="140" customHeight="1">
      <x:c r="A14" s="40" t="n">
        <x:v>6</x:v>
      </x:c>
      <x:c r="B14" s="41" t="str">
        <x:v>Utilisation</x:v>
      </x:c>
      <x:c r="C14" s="41" t="str">
        <x:v>Posture contrainte par une coque mal adaptée</x:v>
      </x:c>
      <x:c r="D14" s="41" t="str">
        <x:v>Main ou posture incompatible avec la P4, masse déplacée par le pack → crispation répétée pendant le travail → sollicitation prolongée</x:v>
      </x:c>
      <x:c r="E14" s="41" t="str">
        <x:v>L'utilisateur maintient une position inconfortable malgré la promesse ergonomique.</x:v>
      </x:c>
      <x:c r="F14" s="41" t="str">
        <x:v>Douleur persistante du poignet ou de l'avant-bras nécessitant des soins.</x:v>
      </x:c>
      <x:c r="G14" s="42" t="n">
        <x:v>2</x:v>
      </x:c>
      <x:c r="H14" s="42" t="n">
        <x:v>3</x:v>
      </x:c>
      <x:c r="I14" s="40" t="n">
        <x:f>IF(OR(G14="",H14=""),"",G14*H14)</x:f>
        <x:v>6</x:v>
      </x:c>
      <x:c r="J14" s="40" t="str">
        <x:f>IF(I14="","",IF(I14&gt;='Échelles'!$C$15,"Élevé : inacceptable",IF(I14&gt;='Échelles'!$C$14,"Moyen : à réduire","Faible : acceptable")))</x:f>
        <x:v>Élevé : inacceptable</x:v>
      </x:c>
      <x:c r="K14" s="41" t="str">
        <x:v>Vérifier la prise en main droite de taille moyenne, les appuis et le centre de masse avec le pack final ; corriger coque et position des contacts selon les essais.</x:v>
      </x:c>
      <x:c r="L14" s="41" t="str">
        <x:v>Contrôler le confort en séances progressives ; arrêter au premier inconfort. Ne pas autoriser un usage prolongé avant validation de la prise en main.</x:v>
      </x:c>
      <x:c r="M14" s="41" t="str">
        <x:v>Régler le poste, faire des pauses et changer de souris si douleur ; ne pas forcer la prise pour toucher les capteurs.</x:v>
      </x:c>
      <x:c r="N14" s="42" t="n">
        <x:v>2</x:v>
      </x:c>
      <x:c r="O14" s="42" t="n">
        <x:v>1</x:v>
      </x:c>
      <x:c r="P14" s="40" t="n">
        <x:f>IF(OR(N14="",O14=""),"",N14*O14)</x:f>
        <x:v>2</x:v>
      </x:c>
      <x:c r="Q14" s="40" t="str">
        <x:f>IF(P14="","",IF(P14&gt;='Échelles'!$C$15,"Élevé : inacceptable",IF(P14&gt;='Échelles'!$C$14,"Moyen : à réduire","Faible : acceptable")))</x:f>
        <x:v>Faible : acceptable</x:v>
      </x:c>
      <x:c r="R14" s="41" t="str">
        <x:v>G2 : douleur avec soins ; P3 hypothèse prudente pour un utilisateur mal adapté exposé chaque jour, pas une fréquence observée. Cible P1 après essais T6 et adaptation. Bénéfice attendu : suivi sans ajouter de contrainte ; ergonomie non prouvée par le seul angle 65° [S2,S5].</x:v>
      </x:c>
    </x:row>
    <x:row r="15" ht="140" customHeight="1">
      <x:c r="A15" s="40" t="n">
        <x:v>7</x:v>
      </x:c>
      <x:c r="B15" s="41" t="str">
        <x:v>Utilisation</x:v>
      </x:c>
      <x:c r="C15" s="41" t="str">
        <x:v>Contact cutané irritant ou souillé</x:v>
      </x:c>
      <x:c r="D15" s="41" t="str">
        <x:v>Contacts inox M4/coque mal finis, sueur ou nettoyage inadapté → frottements et exposition prolongée → irritation de la peau</x:v>
      </x:c>
      <x:c r="E15" s="41" t="str">
        <x:v>La main reste en contact avec une surface irritante ou contaminée.</x:v>
      </x:c>
      <x:c r="F15" s="41" t="str">
        <x:v>Dermatite ou lésion superficielle nécessitant un soin local.</x:v>
      </x:c>
      <x:c r="G15" s="42" t="n">
        <x:v>2</x:v>
      </x:c>
      <x:c r="H15" s="42" t="n">
        <x:v>2</x:v>
      </x:c>
      <x:c r="I15" s="40" t="n">
        <x:f>IF(OR(G15="",H15=""),"",G15*H15)</x:f>
        <x:v>4</x:v>
      </x:c>
      <x:c r="J15" s="40" t="str">
        <x:f>IF(I15="","",IF(I15&gt;='Échelles'!$C$15,"Élevé : inacceptable",IF(I15&gt;='Échelles'!$C$14,"Moyen : à réduire","Faible : acceptable")))</x:f>
        <x:v>Moyen : à réduire</x:v>
      </x:c>
      <x:c r="K15" s="41" t="str">
        <x:v>Choisir des matériaux adaptés au contact cutané, arrondir les contacts et supprimer bavures/recoins ; rendre les surfaces nettoyables sans entrée de liquide.</x:v>
      </x:c>
      <x:c r="L15" s="41" t="str">
        <x:v>Inspecter les surfaces et vérifier nettoyage, état de la peau et compatibilité des matériaux ; retirer une pièce dégradée ou irritante.</x:v>
      </x:c>
      <x:c r="M15" s="41" t="str">
        <x:v>Nettoyer selon une méthode validée ; ne pas utiliser sur peau lésée ; cesser l'utilisation en cas de rougeur persistante.</x:v>
      </x:c>
      <x:c r="N15" s="42" t="n">
        <x:v>2</x:v>
      </x:c>
      <x:c r="O15" s="42" t="n">
        <x:v>1</x:v>
      </x:c>
      <x:c r="P15" s="40" t="n">
        <x:f>IF(OR(N15="",O15=""),"",N15*O15)</x:f>
        <x:v>2</x:v>
      </x:c>
      <x:c r="Q15" s="40" t="str">
        <x:f>IF(P15="","",IF(P15&gt;='Échelles'!$C$15,"Élevé : inacceptable",IF(P15&gt;='Échelles'!$C$14,"Moyen : à réduire","Faible : acceptable")))</x:f>
        <x:v>Faible : acceptable</x:v>
      </x:c>
      <x:c r="R15" s="41" t="str">
        <x:v>G2 : atteinte cutanée avec soin ; P2 : exposition prolongée plausible sans matériaux ni nettoyage qualifiés. Cible P1 après T7. Les électrodes sont intégrées à la coque, sans attaches aux doigts. Le mot inox ne prouve pas la tolérance cutanée [S2,S5].</x:v>
      </x:c>
    </x:row>
    <x:row r="16" ht="140" customHeight="1">
      <x:c r="A16" s="40" t="n">
        <x:v>8</x:v>
      </x:c>
      <x:c r="B16" s="41" t="str">
        <x:v>Utilisation</x:v>
      </x:c>
      <x:c r="C16" s="41" t="str">
        <x:v>Confiance excessive dans un indicateur rassurant</x:v>
      </x:c>
      <x:c r="D16" s="41" t="str">
        <x:v>Indicateur normal ou absence d’alerte → utilisateur se croit protégé d’une complication cardiovasculaire → consultation différée malgré des symptômes.</x:v>
      </x:c>
      <x:c r="E16" s="41" t="str">
        <x:v>La personne remplace une évaluation médicale par l’affichage rassurant de la souris.</x:v>
      </x:c>
      <x:c r="F16" s="41" t="str">
        <x:v>Retard de consultation ou de prise en charge cardiovasculaire après une fausse assurance, avec aggravation grave, séquelles ou décès possibles dans le scénario défavorable.</x:v>
      </x:c>
      <x:c r="G16" s="42" t="n">
        <x:v>3</x:v>
      </x:c>
      <x:c r="H16" s="42" t="n">
        <x:v>2</x:v>
      </x:c>
      <x:c r="I16" s="40" t="n">
        <x:f>IF(OR(G16="",H16=""),"",G16*H16)</x:f>
        <x:v>6</x:v>
      </x:c>
      <x:c r="J16" s="40" t="str">
        <x:f>IF(I16="","",IF(I16&gt;='Échelles'!$C$15,"Élevé : inacceptable",IF(I16&gt;='Échelles'!$C$14,"Moyen : à réduire","Faible : acceptable")))</x:f>
        <x:v>Élevé : inacceptable</x:v>
      </x:c>
      <x:c r="K16" s="41" t="str">
        <x:v>Distinguer mesure, qualité et interprétation ; ne jamais afficher une absence de risque cardiovasculaire sur des signaux non validés ; afficher les limites dans le parcours.</x:v>
      </x:c>
      <x:c r="L16" s="41" t="str">
        <x:v>Afficher les limites au moment du résultat et un état distinct pour données absentes ; vérifier la compréhension par des essais utilisateurs.</x:v>
      </x:c>
      <x:c r="M16" s="41" t="str">
        <x:v>Le prototype ne détecte pas une urgence et un affichage normal n’exclut pas une complication. Ne pas attendre une alerte de la souris pour demander un avis médical devant des symptômes.</x:v>
      </x:c>
      <x:c r="N16" s="42" t="n">
        <x:v>3</x:v>
      </x:c>
      <x:c r="O16" s="42" t="n">
        <x:v>1</x:v>
      </x:c>
      <x:c r="P16" s="40" t="n">
        <x:f>IF(OR(N16="",O16=""),"",N16*O16)</x:f>
        <x:v>3</x:v>
      </x:c>
      <x:c r="Q16" s="40" t="str">
        <x:f>IF(P16="","",IF(P16&gt;='Échelles'!$C$15,"Élevé : inacceptable",IF(P16&gt;='Échelles'!$C$14,"Moyen : à réduire","Faible : acceptable")))</x:f>
        <x:v>Moyen : à réduire</x:v>
      </x:c>
      <x:c r="R16" s="41" t="str">
        <x:v>G3 conservatrice pour le scénario cardiovasculaire défavorable ; le périmètre ne permet pas d’exclure séquelles ou décès après une fausse assurance. P2 qualitative, sans fréquence mesurée. Cible G3 × P1 = 3, moyenne, uniquement si les mesures et essais justifient P1 ; acceptation différée. Le score du TP ne détermine pas la classe MDR. Vérification T8 et validation du parcours médical nécessaires.</x:v>
      </x:c>
    </x:row>
    <x:row r="17" ht="140" customHeight="1">
      <x:c r="A17" s="40" t="n">
        <x:v>9</x:v>
      </x:c>
      <x:c r="B17" s="41" t="str">
        <x:v>Cybersécurité</x:v>
      </x:c>
      <x:c r="C17" s="41" t="str">
        <x:v>Divulgation des données de santé</x:v>
      </x:c>
      <x:c r="D17" s="41" t="str">
        <x:v>Accès au PC/CSV non maîtrisé ou transmission non protégée → consultation de données identifiantes par un tiers → divulgation</x:v>
      </x:c>
      <x:c r="E17" s="41" t="str">
        <x:v>Des signaux physiologiques, habitudes et informations de santé de la personne deviennent accessibles à un tiers non autorisé.</x:v>
      </x:c>
      <x:c r="F17" s="41" t="str">
        <x:v>Détresse psychologique pouvant nécessiter un accompagnement ; atteinte à la confidentialité.</x:v>
      </x:c>
      <x:c r="G17" s="42" t="n">
        <x:v>2</x:v>
      </x:c>
      <x:c r="H17" s="42" t="n">
        <x:v>2</x:v>
      </x:c>
      <x:c r="I17" s="40" t="n">
        <x:f>IF(OR(G17="",H17=""),"",G17*H17)</x:f>
        <x:v>4</x:v>
      </x:c>
      <x:c r="J17" s="40" t="str">
        <x:f>IF(I17="","",IF(I17&gt;='Échelles'!$C$15,"Élevé : inacceptable",IF(I17&gt;='Échelles'!$C$14,"Moyen : à réduire","Faible : acceptable")))</x:f>
        <x:v>Moyen : à réduire</x:v>
      </x:c>
      <x:c r="K17" s="41" t="str">
        <x:v>Minimiser et pseudonymiser les données ; limiter stockage et durée ; protéger les fichiers et authentifier/chiffrer la liaison BLE selon la pile retenue.</x:v>
      </x:c>
      <x:c r="L17" s="41" t="str">
        <x:v>Comptes distincts et droits minimaux ; si MQTT sort du PC, TLS avec validation serveur et certificat par objet, sans accès anonyme ; contrôler les accès.</x:v>
      </x:c>
      <x:c r="M17" s="41" t="str">
        <x:v>Expliquer les destinataires et la suppression ; ne pas partager les CSV réels ou secrets sur Git ; verrouiller la session du PC.</x:v>
      </x:c>
      <x:c r="N17" s="42" t="n">
        <x:v>2</x:v>
      </x:c>
      <x:c r="O17" s="42" t="n">
        <x:v>1</x:v>
      </x:c>
      <x:c r="P17" s="40" t="n">
        <x:f>IF(OR(N17="",O17=""),"",N17*O17)</x:f>
        <x:v>2</x:v>
      </x:c>
      <x:c r="Q17" s="40" t="str">
        <x:f>IF(P17="","",IF(P17&gt;='Échelles'!$C$15,"Élevé : inacceptable",IF(P17&gt;='Échelles'!$C$14,"Moyen : à réduire","Faible : acceptable")))</x:f>
        <x:v>Faible : acceptable</x:v>
      </x:c>
      <x:c r="R17" s="41" t="str">
        <x:v>G2 concerne une détresse nécessitant accompagnement, pas la seule perte d'un fichier. P2 faute de protections démontrées ; cible P1 après T9. MQTT actuel optionnel sur localhost:1883, sans TLS configuré ; ne pas prétendre qu'un serveur distant sécurisé existe. M2 : chiffrement et comptes [S4].</x:v>
      </x:c>
    </x:row>
    <x:row r="18" ht="140" customHeight="1">
      <x:c r="A18" s="40" t="n">
        <x:v>10</x:v>
      </x:c>
      <x:c r="B18" s="41" t="str">
        <x:v>Cybersécurité</x:v>
      </x:c>
      <x:c r="C18" s="41" t="str">
        <x:v>Usurpation de la souris ou substitution de mesures</x:v>
      </x:c>
      <x:c r="D18" s="41" t="str">
        <x:v>Un appareil reprend le nom BLE SourisSante-R3 ou des données sont rejouées → passerelle accepte la mauvaise source → résultat attribué à la personne</x:v>
      </x:c>
      <x:c r="E18" s="41" t="str">
        <x:v>L’utilisateur ou le professionnel décide à partir de données fabriquées ou appartenant à une autre session.</x:v>
      </x:c>
      <x:c r="F18" s="41" t="str">
        <x:v>Retard de consultation ou de prise en charge cardiovasculaire après une fausse assurance, avec aggravation grave, séquelles ou décès possibles dans le scénario défavorable.</x:v>
      </x:c>
      <x:c r="G18" s="42" t="n">
        <x:v>3</x:v>
      </x:c>
      <x:c r="H18" s="42" t="n">
        <x:v>2</x:v>
      </x:c>
      <x:c r="I18" s="40" t="n">
        <x:f>IF(OR(G18="",H18=""),"",G18*H18)</x:f>
        <x:v>6</x:v>
      </x:c>
      <x:c r="J18" s="40" t="str">
        <x:f>IF(I18="","",IF(I18&gt;='Échelles'!$C$15,"Élevé : inacceptable",IF(I18&gt;='Échelles'!$C$14,"Moyen : à réduire","Faible : acceptable")))</x:f>
        <x:v>Élevé : inacceptable</x:v>
      </x:c>
      <x:c r="K18" s="41" t="str">
        <x:v>Associer une identité authentifiée à l'objet et à la session ; ne pas se fier au nom BLE ; vérifier intégrité, séquence et fraîcheur des données.</x:v>
      </x:c>
      <x:c r="L18" s="41" t="str">
        <x:v>Refuser une source inconnue ou un rejeu ; avertir lors d'un changement d'objet ; journaliser les anomalies et bloquer l'interprétation.</x:v>
      </x:c>
      <x:c r="M18" s="41" t="str">
        <x:v>Associer la souris dans un environnement maîtrisé et vérifier l'identité/session avant le suivi ; signaler les changements inattendus. Aucun résultat ne doit être utilisé pour exclure une complication ou différer une consultation devant des symptômes.</x:v>
      </x:c>
      <x:c r="N18" s="42" t="n">
        <x:v>3</x:v>
      </x:c>
      <x:c r="O18" s="42" t="n">
        <x:v>1</x:v>
      </x:c>
      <x:c r="P18" s="40" t="n">
        <x:f>IF(OR(N18="",O18=""),"",N18*O18)</x:f>
        <x:v>3</x:v>
      </x:c>
      <x:c r="Q18" s="40" t="str">
        <x:f>IF(P18="","",IF(P18&gt;='Échelles'!$C$15,"Élevé : inacceptable",IF(P18&gt;='Échelles'!$C$14,"Moyen : à réduire","Faible : acceptable")))</x:f>
        <x:v>Moyen : à réduire</x:v>
      </x:c>
      <x:c r="R18" s="41" t="str">
        <x:v>G3 conservatrice pour le scénario cardiovasculaire défavorable ; le périmètre ne permet pas d’exclure séquelles ou décès après une fausse assurance. P2 qualitative, sans fréquence mesurée. Cible G3 × P1 = 3, moyenne, uniquement si les mesures et essais justifient P1 ; acceptation différée. Le score du TP ne détermine pas la classe MDR. Vérification T10 et validation du parcours médical nécessaires.</x:v>
      </x:c>
    </x:row>
    <x:row r="19" ht="120" customHeight="1">
      <x:c r="A19" s="40" t="n">
        <x:v>11</x:v>
      </x:c>
      <x:c r="B19" s="41" t="str">
        <x:v>Technique</x:v>
      </x:c>
      <x:c r="C19" s="41" t="str">
        <x:v>Liquide dans la coque : défaut électrique</x:v>
      </x:c>
      <x:c r="D19" s="41" t="str">
        <x:v>Boisson renversée ou nettoyage humide → liquide sur le circuit → court-circuit et échauffement.</x:v>
      </x:c>
      <x:c r="E19" s="41" t="str">
        <x:v>La main reste sur la souris pendant l'échauffement provoqué par l'entrée de liquide.</x:v>
      </x:c>
      <x:c r="F19" s="41" t="str">
        <x:v>Brûlure de la main, avec séquelles possibles si le défaut atteint la batterie.</x:v>
      </x:c>
      <x:c r="G19" s="42" t="n">
        <x:v>3</x:v>
      </x:c>
      <x:c r="H19" s="42" t="n">
        <x:v>2</x:v>
      </x:c>
      <x:c r="I19" s="40" t="n">
        <x:f>IF(OR(G19="",H19=""),"",G19*H19)</x:f>
        <x:v>6</x:v>
      </x:c>
      <x:c r="J19" s="40" t="str">
        <x:f>IF(I19="","",IF(I19&gt;='Échelles'!$C$15,"Élevé : inacceptable",IF(I19&gt;='Échelles'!$C$14,"Moyen : à réduire","Faible : acceptable")))</x:f>
        <x:v>Élevé : inacceptable</x:v>
      </x:c>
      <x:c r="K19" s="41" t="str">
        <x:v>Protéger les ouvertures et séparer les circuits des zones exposées. Concevoir des surfaces nettoyables sans entrée de liquide.</x:v>
      </x:c>
      <x:c r="L19" s="41" t="str">
        <x:v>Qualifier les protections électriques et thermiques pour ce défaut. Contrôler l'état avant remise en service après une exposition.</x:v>
      </x:c>
      <x:c r="M19" s="41" t="str">
        <x:v>Définir un nettoyage compatible. Après liquide renversé, arrêter l'usage et faire vérifier l'appareil avant recharge.</x:v>
      </x:c>
      <x:c r="N19" s="42" t="n">
        <x:v>3</x:v>
      </x:c>
      <x:c r="O19" s="42" t="n">
        <x:v>1</x:v>
      </x:c>
      <x:c r="P19" s="40" t="n">
        <x:f>IF(OR(N19="",O19=""),"",N19*O19)</x:f>
        <x:v>3</x:v>
      </x:c>
      <x:c r="Q19" s="40" t="str">
        <x:f>IF(P19="","",IF(P19&gt;='Échelles'!$C$15,"Élevé : inacceptable",IF(P19&gt;='Échelles'!$C$14,"Moyen : à réduire","Faible : acceptable")))</x:f>
        <x:v>Moyen : à réduire</x:v>
      </x:c>
      <x:c r="R19" s="41" t="str">
        <x:v>G3 : scénario de brûlure avec séquelles. P2 hypothétique, pas de taux mesuré. Cible 3, moyenne, seulement après essais. Acceptation différée : bénéfice clinique non démontré. Complète les risques 2 et 3. M2 : protection de l'alimentation.</x:v>
      </x:c>
    </x:row>
    <x:row r="20" ht="120" customHeight="1">
      <x:c r="A20" s="40" t="n">
        <x:v>12</x:v>
      </x:c>
      <x:c r="B20" s="41" t="str">
        <x:v>Technique</x:v>
      </x:c>
      <x:c r="C20" s="41" t="str">
        <x:v>Rupture mécanique après chute ou choc</x:v>
      </x:c>
      <x:c r="D20" s="41" t="str">
        <x:v>Souris tombée du bureau → fixation rompue, arête exposée ou pack déplacé → coupure ou endommagement électrique.</x:v>
      </x:c>
      <x:c r="E20" s="41" t="str">
        <x:v>L'utilisateur reprend une souris endommagée et touche une arête ou une coque qui chauffe.</x:v>
      </x:c>
      <x:c r="F20" s="41" t="str">
        <x:v>Coupure nécessitant un soin ; dans le scénario batterie, brûlure avec séquelles possibles.</x:v>
      </x:c>
      <x:c r="G20" s="42" t="n">
        <x:v>3</x:v>
      </x:c>
      <x:c r="H20" s="42" t="n">
        <x:v>2</x:v>
      </x:c>
      <x:c r="I20" s="40" t="n">
        <x:f>IF(OR(G20="",H20=""),"",G20*H20)</x:f>
        <x:v>6</x:v>
      </x:c>
      <x:c r="J20" s="40" t="str">
        <x:f>IF(I20="","",IF(I20&gt;='Échelles'!$C$15,"Élevé : inacceptable",IF(I20&gt;='Échelles'!$C$14,"Moyen : à réduire","Faible : acceptable")))</x:f>
        <x:v>Élevé : inacceptable</x:v>
      </x:c>
      <x:c r="K20" s="41" t="str">
        <x:v>Dimensionner coque et fixations. Immobiliser le pack sans le comprimer, retenir les fils et supprimer les arêtes accessibles après choc.</x:v>
      </x:c>
      <x:c r="L20" s="41" t="str">
        <x:v>Contrôler l'intégrité après chute. Empêcher la réutilisation d'un pack ou d'une coque endommagés avant examen.</x:v>
      </x:c>
      <x:c r="M20" s="41" t="str">
        <x:v>Après un choc, vérifier la coque et arrêter l'usage si une pièce bouge, se fissure ou chauffe. Ne pas recharger un pack endommagé.</x:v>
      </x:c>
      <x:c r="N20" s="42" t="n">
        <x:v>3</x:v>
      </x:c>
      <x:c r="O20" s="42" t="n">
        <x:v>1</x:v>
      </x:c>
      <x:c r="P20" s="40" t="n">
        <x:f>IF(OR(N20="",O20=""),"",N20*O20)</x:f>
        <x:v>3</x:v>
      </x:c>
      <x:c r="Q20" s="40" t="str">
        <x:f>IF(P20="","",IF(P20&gt;='Échelles'!$C$15,"Élevé : inacceptable",IF(P20&gt;='Échelles'!$C$14,"Moyen : à réduire","Faible : acceptable")))</x:f>
        <x:v>Moyen : à réduire</x:v>
      </x:c>
      <x:c r="R20" s="41" t="str">
        <x:v>G3 suit le dommage batterie le plus grave décrit, pas une coupure mineure. P2 hypothétique. Cible moyenne après qualification mécanique et électrique ; acceptation différée. Complète R2 et R7. Bénéfice attendu : maintien d'un usage sans blessure.</x:v>
      </x:c>
    </x:row>
    <x:row r="21" ht="120" customHeight="1">
      <x:c r="A21" s="40" t="n">
        <x:v>13</x:v>
      </x:c>
      <x:c r="B21" s="41" t="str">
        <x:v>Technique</x:v>
      </x:c>
      <x:c r="C21" s="41" t="str">
        <x:v>Dérive progressive des mesures</x:v>
      </x:c>
      <x:c r="D21" s="41" t="str">
        <x:v>Vieillissement, encrassement ou dérive d'un capteur → biais non détecté → indicateurs utilisés comme fiables.</x:v>
      </x:c>
      <x:c r="E21" s="41" t="str">
        <x:v>Dans l'usage médical envisagé, le professionnel interprète un changement qui provient du capteur plutôt que de l'utilisateur.</x:v>
      </x:c>
      <x:c r="F21" s="41" t="str">
        <x:v>Retard de consultation ou de prise en charge cardiovasculaire après une fausse assurance, avec aggravation grave, séquelles ou décès possibles dans le scénario défavorable.</x:v>
      </x:c>
      <x:c r="G21" s="42" t="n">
        <x:v>3</x:v>
      </x:c>
      <x:c r="H21" s="42" t="n">
        <x:v>2</x:v>
      </x:c>
      <x:c r="I21" s="40" t="n">
        <x:f>IF(OR(G21="",H21=""),"",G21*H21)</x:f>
        <x:v>6</x:v>
      </x:c>
      <x:c r="J21" s="40" t="str">
        <x:f>IF(I21="","",IF(I21&gt;='Échelles'!$C$15,"Élevé : inacceptable",IF(I21&gt;='Échelles'!$C$14,"Moyen : à réduire","Faible : acceptable")))</x:f>
        <x:v>Élevé : inacceptable</x:v>
      </x:c>
      <x:c r="K21" s="41" t="str">
        <x:v>Définir les performances acceptables et un contrôle périodique contre une référence adaptée. Prévoir le remplacement du capteur dégradé.</x:v>
      </x:c>
      <x:c r="L21" s="41" t="str">
        <x:v>Détecter les dérives et incohérences. Invalider les mesures quand la performance requise n'est plus démontrée.</x:v>
      </x:c>
      <x:c r="M21" s="41" t="str">
        <x:v>Indiquer les contrôles et l'entretien requis. Ne pas interpréter une variation persistante sans vérifier la qualité de mesure. Aucun résultat ne doit être utilisé pour exclure une complication ou différer une consultation devant des symptômes.</x:v>
      </x:c>
      <x:c r="N21" s="42" t="n">
        <x:v>3</x:v>
      </x:c>
      <x:c r="O21" s="42" t="n">
        <x:v>1</x:v>
      </x:c>
      <x:c r="P21" s="40" t="n">
        <x:f>IF(OR(N21="",O21=""),"",N21*O21)</x:f>
        <x:v>3</x:v>
      </x:c>
      <x:c r="Q21" s="40" t="str">
        <x:f>IF(P21="","",IF(P21&gt;='Échelles'!$C$15,"Élevé : inacceptable",IF(P21&gt;='Échelles'!$C$14,"Moyen : à réduire","Faible : acceptable")))</x:f>
        <x:v>Moyen : à réduire</x:v>
      </x:c>
      <x:c r="R21" s="41" t="str">
        <x:v>G3 conservatrice pour le scénario cardiovasculaire défavorable ; le périmètre ne permet pas d’exclure séquelles ou décès après une fausse assurance. P2 qualitative, sans fréquence mesurée. Cible G3 × P1 = 3, moyenne, uniquement si les mesures et essais justifient P1 ; acceptation différée. Le score du TP ne détermine pas la classe MDR. Vérification T13 et validation du parcours médical nécessaires.</x:v>
      </x:c>
    </x:row>
    <x:row r="22" ht="120" customHeight="1">
      <x:c r="A22" s="40" t="n">
        <x:v>14</x:v>
      </x:c>
      <x:c r="B22" s="41" t="str">
        <x:v>Utilisation</x:v>
      </x:c>
      <x:c r="C22" s="41" t="str">
        <x:v>Mesures de plusieurs sessions ou personnes confondues</x:v>
      </x:c>
      <x:c r="D22" s="41" t="str">
        <x:v>Même CSV réutilisé → plusieurs sessions enregistrées → courbes sans séparation de session → historique attribué à une seule personne.</x:v>
      </x:c>
      <x:c r="E22" s="41" t="str">
        <x:v>Dans un usage partagé, le lecteur interprète des mesures de sessions différentes comme un suivi individuel continu.</x:v>
      </x:c>
      <x:c r="F22" s="41" t="str">
        <x:v>Retard de consultation ou de prise en charge cardiovasculaire après une fausse assurance, avec aggravation grave, séquelles ou décès possibles dans le scénario défavorable.</x:v>
      </x:c>
      <x:c r="G22" s="42" t="n">
        <x:v>3</x:v>
      </x:c>
      <x:c r="H22" s="42" t="n">
        <x:v>2</x:v>
      </x:c>
      <x:c r="I22" s="40" t="n">
        <x:f>IF(OR(G22="",H22=""),"",G22*H22)</x:f>
        <x:v>6</x:v>
      </x:c>
      <x:c r="J22" s="40" t="str">
        <x:f>IF(I22="","",IF(I22&gt;='Échelles'!$C$15,"Élevé : inacceptable",IF(I22&gt;='Échelles'!$C$14,"Moyen : à réduire","Faible : acceptable")))</x:f>
        <x:v>Élevé : inacceptable</x:v>
      </x:c>
      <x:c r="K22" s="41" t="str">
        <x:v>Associer explicitement personne, objet et session. Filtrer les courbes par session et éviter tout raccord visuel entre personnes.</x:v>
      </x:c>
      <x:c r="L22" s="41" t="str">
        <x:v>Afficher l'identité pseudonymisée et la session. Demander confirmation lors d'un changement de profil ou de fichier.</x:v>
      </x:c>
      <x:c r="M22" s="41" t="str">
        <x:v>Vérifier la personne et la période avant interprétation. Ne pas partager un historique sans séparation explicite des sessions. Aucun résultat ne doit être utilisé pour exclure une complication ou différer une consultation devant des symptômes.</x:v>
      </x:c>
      <x:c r="N22" s="42" t="n">
        <x:v>3</x:v>
      </x:c>
      <x:c r="O22" s="42" t="n">
        <x:v>1</x:v>
      </x:c>
      <x:c r="P22" s="40" t="n">
        <x:f>IF(OR(N22="",O22=""),"",N22*O22)</x:f>
        <x:v>3</x:v>
      </x:c>
      <x:c r="Q22" s="40" t="str">
        <x:f>IF(P22="","",IF(P22&gt;='Échelles'!$C$15,"Élevé : inacceptable",IF(P22&gt;='Échelles'!$C$14,"Moyen : à réduire","Faible : acceptable")))</x:f>
        <x:v>Moyen : à réduire</x:v>
      </x:c>
      <x:c r="R22" s="41" t="str">
        <x:v>G3 conservatrice pour le scénario cardiovasculaire défavorable ; le périmètre ne permet pas d’exclure séquelles ou décès après une fausse assurance. P2 qualitative, sans fréquence mesurée. Cible G3 × P1 = 3, moyenne, uniquement si les mesures et essais justifient P1 ; acceptation différée. Le score du TP ne détermine pas la classe MDR. Vérification T14 et validation du parcours médical nécessaires.</x:v>
      </x:c>
    </x:row>
    <x:row r="23" ht="120" customHeight="1">
      <x:c r="A23" s="40" t="n">
        <x:v>15</x:v>
      </x:c>
      <x:c r="B23" s="41" t="str">
        <x:v>Technique</x:v>
      </x:c>
      <x:c r="C23" s="41" t="str">
        <x:v>Mise à jour introduisant une erreur de fonctionnement</x:v>
      </x:c>
      <x:c r="D23" s="41" t="str">
        <x:v>Nouvelle version ou réglage incompatible → décodage/calcul erroné ou acquisition interrompue → résultat trompeur utilisé.</x:v>
      </x:c>
      <x:c r="E23" s="41" t="str">
        <x:v>Après une mise à jour, le lecteur croit retrouver le même fonctionnement et interprète des mesures modifiées.</x:v>
      </x:c>
      <x:c r="F23" s="41" t="str">
        <x:v>Retard de consultation ou de prise en charge cardiovasculaire après une fausse assurance, avec aggravation grave, séquelles ou décès possibles dans le scénario défavorable.</x:v>
      </x:c>
      <x:c r="G23" s="42" t="n">
        <x:v>3</x:v>
      </x:c>
      <x:c r="H23" s="42" t="n">
        <x:v>2</x:v>
      </x:c>
      <x:c r="I23" s="40" t="n">
        <x:f>IF(OR(G23="",H23=""),"",G23*H23)</x:f>
        <x:v>6</x:v>
      </x:c>
      <x:c r="J23" s="40" t="str">
        <x:f>IF(I23="","",IF(I23&gt;='Échelles'!$C$15,"Élevé : inacceptable",IF(I23&gt;='Échelles'!$C$14,"Moyen : à réduire","Faible : acceptable")))</x:f>
        <x:v>Élevé : inacceptable</x:v>
      </x:c>
      <x:c r="K23" s="41" t="str">
        <x:v>Gérer versions et compatibilité capteur/passerelle. Tester les modifications, conserver une version fonctionnelle et vérifier l'intégrité des fichiers.</x:v>
      </x:c>
      <x:c r="L23" s="41" t="str">
        <x:v>Bloquer les versions incompatibles, vérifier les fonctions après installation et prévoir une récupération contrôlée.</x:v>
      </x:c>
      <x:c r="M23" s="41" t="str">
        <x:v>Documenter la procédure, les versions compatibles et les changements. Ne pas interrompre une installation ni utiliser une version inconnue. Aucun résultat ne doit être utilisé pour exclure une complication ou différer une consultation devant des symptômes.</x:v>
      </x:c>
      <x:c r="N23" s="42" t="n">
        <x:v>3</x:v>
      </x:c>
      <x:c r="O23" s="42" t="n">
        <x:v>1</x:v>
      </x:c>
      <x:c r="P23" s="40" t="n">
        <x:f>IF(OR(N23="",O23=""),"",N23*O23)</x:f>
        <x:v>3</x:v>
      </x:c>
      <x:c r="Q23" s="40" t="str">
        <x:f>IF(P23="","",IF(P23&gt;='Échelles'!$C$15,"Élevé : inacceptable",IF(P23&gt;='Échelles'!$C$14,"Moyen : à réduire","Faible : acceptable")))</x:f>
        <x:v>Moyen : à réduire</x:v>
      </x:c>
      <x:c r="R23" s="41" t="str">
        <x:v>G3 conservatrice pour le scénario cardiovasculaire défavorable ; le périmètre ne permet pas d’exclure séquelles ou décès après une fausse assurance. P2 qualitative, sans fréquence mesurée. Cible G3 × P1 = 3, moyenne, uniquement si les mesures et essais justifient P1 ; acceptation différée. Le score du TP ne détermine pas la classe MDR. Vérification T15 et validation du parcours médical nécessaires.</x:v>
      </x:c>
    </x:row>
    <x:row r="24" ht="120" customHeight="1">
      <x:c r="A24" s="40" t="n">
        <x:v>16</x:v>
      </x:c>
      <x:c r="B24" s="41" t="str">
        <x:v>Technique</x:v>
      </x:c>
      <x:c r="C24" s="41" t="str">
        <x:v>Perturbation électromagnétique ou décharge électrostatique</x:v>
      </x:c>
      <x:c r="D24" s="41" t="str">
        <x:v>Perturbation radio/électrique ou décharge au contact → reset ou données corrompues → défaut non signalé avant interprétation.</x:v>
      </x:c>
      <x:c r="E24" s="41" t="str">
        <x:v>L'utilisateur ou le professionnel prend des mesures perturbées ou un suivi incomplet pour des données fiables.</x:v>
      </x:c>
      <x:c r="F24" s="41" t="str">
        <x:v>Retard de consultation ou de prise en charge cardiovasculaire après une fausse assurance, avec aggravation grave, séquelles ou décès possibles dans le scénario défavorable.</x:v>
      </x:c>
      <x:c r="G24" s="42" t="n">
        <x:v>3</x:v>
      </x:c>
      <x:c r="H24" s="42" t="n">
        <x:v>2</x:v>
      </x:c>
      <x:c r="I24" s="40" t="n">
        <x:f>IF(OR(G24="",H24=""),"",G24*H24)</x:f>
        <x:v>6</x:v>
      </x:c>
      <x:c r="J24" s="40" t="str">
        <x:f>IF(I24="","",IF(I24&gt;='Échelles'!$C$15,"Élevé : inacceptable",IF(I24&gt;='Échelles'!$C$14,"Moyen : à réduire","Faible : acceptable")))</x:f>
        <x:v>Élevé : inacceptable</x:v>
      </x:c>
      <x:c r="K24" s="41" t="str">
        <x:v>Adapter protections ESD, découplage, câblage et implantation. Définir le comportement sûr pendant et après perturbation.</x:v>
      </x:c>
      <x:c r="L24" s="41" t="str">
        <x:v>Détecter corruption et redémarrage. Invalider les données affectées et afficher l'indisponibilité jusqu'au retour vérifié.</x:v>
      </x:c>
      <x:c r="M24" s="41" t="str">
        <x:v>Préciser l'environnement d'usage validé et la conduite à tenir lors de perturbations répétées. Aucun résultat ne doit être utilisé pour exclure une complication ou différer une consultation devant des symptômes.</x:v>
      </x:c>
      <x:c r="N24" s="42" t="n">
        <x:v>3</x:v>
      </x:c>
      <x:c r="O24" s="42" t="n">
        <x:v>1</x:v>
      </x:c>
      <x:c r="P24" s="40" t="n">
        <x:f>IF(OR(N24="",O24=""),"",N24*O24)</x:f>
        <x:v>3</x:v>
      </x:c>
      <x:c r="Q24" s="40" t="str">
        <x:f>IF(P24="","",IF(P24&gt;='Échelles'!$C$15,"Élevé : inacceptable",IF(P24&gt;='Échelles'!$C$14,"Moyen : à réduire","Faible : acceptable")))</x:f>
        <x:v>Moyen : à réduire</x:v>
      </x:c>
      <x:c r="R24" s="41" t="str">
        <x:v>G3 conservatrice pour le scénario cardiovasculaire défavorable ; le périmètre ne permet pas d’exclure séquelles ou décès après une fausse assurance. P2 qualitative, sans fréquence mesurée. Cible G3 × P1 = 3, moyenne, uniquement si les mesures et essais justifient P1 ; acceptation différée. Le score du TP ne détermine pas la classe MDR. Vérification T16 et validation du parcours médical nécessaires.</x:v>
      </x:c>
    </x:row>
    <x:row r="25" ht="120" customHeight="1">
      <x:c r="A25" s="40" t="n">
        <x:v>17</x:v>
      </x:c>
      <x:c r="B25" s="41" t="str">
        <x:v>Technique</x:v>
      </x:c>
      <x:c r="C25" s="41" t="str">
        <x:v>Pouls numériquement aberrant accepté par le filtre</x:v>
      </x:c>
      <x:c r="D25" s="41" t="str">
        <x:v>Paquet contenant un pouls aberrant avec statut/confiance acceptés → filtre positif → valeur présentée comme techniquement valide.</x:v>
      </x:c>
      <x:c r="E25" s="41" t="str">
        <x:v>Le lecteur se fie à une mesure incohérente et l'utilise pour apprécier l'état ou le suivi de la personne.</x:v>
      </x:c>
      <x:c r="F25" s="41" t="str">
        <x:v>Retard de consultation ou de prise en charge cardiovasculaire après une fausse assurance, avec aggravation grave, séquelles ou décès possibles dans le scénario défavorable. À l’inverse, une fausse alerte peut provoquer anxiété et examens inutiles ; ce sous-scénario ne justifie pas de diminuer la gravité du faux négatif.</x:v>
      </x:c>
      <x:c r="G25" s="42" t="n">
        <x:v>3</x:v>
      </x:c>
      <x:c r="H25" s="42" t="n">
        <x:v>2</x:v>
      </x:c>
      <x:c r="I25" s="40" t="n">
        <x:f>IF(OR(G25="",H25=""),"",G25*H25)</x:f>
        <x:v>6</x:v>
      </x:c>
      <x:c r="J25" s="40" t="str">
        <x:f>IF(I25="","",IF(I25&gt;='Échelles'!$C$15,"Élevé : inacceptable",IF(I25&gt;='Échelles'!$C$14,"Moyen : à réduire","Faible : acceptable")))</x:f>
        <x:v>Élevé : inacceptable</x:v>
      </x:c>
      <x:c r="K25" s="41" t="str">
        <x:v>Valider domaine numérique, unités et plausibilité selon le capteur et l'usage. Ne pas fixer un seuil clinique universel sans justification.</x:v>
      </x:c>
      <x:c r="L25" s="41" t="str">
        <x:v>Rejeter les valeurs hors domaine et les contradictions. Afficher « mesure indisponible » et tracer la cause du rejet.</x:v>
      </x:c>
      <x:c r="M25" s="41" t="str">
        <x:v>Une qualité technique acceptée ne prouve pas une mesure médicale valide. Signaler les valeurs incohérentes. Aucun résultat ne doit être utilisé pour exclure une complication ou différer une consultation devant des symptômes.</x:v>
      </x:c>
      <x:c r="N25" s="42" t="n">
        <x:v>3</x:v>
      </x:c>
      <x:c r="O25" s="42" t="n">
        <x:v>1</x:v>
      </x:c>
      <x:c r="P25" s="40" t="n">
        <x:f>IF(OR(N25="",O25=""),"",N25*O25)</x:f>
        <x:v>3</x:v>
      </x:c>
      <x:c r="Q25" s="40" t="str">
        <x:f>IF(P25="","",IF(P25&gt;='Échelles'!$C$15,"Élevé : inacceptable",IF(P25&gt;='Échelles'!$C$14,"Moyen : à réduire","Faible : acceptable")))</x:f>
        <x:v>Moyen : à réduire</x:v>
      </x:c>
      <x:c r="R25" s="41" t="str">
        <x:v>G3 conservatrice pour le scénario cardiovasculaire défavorable ; le périmètre ne permet pas d’exclure séquelles ou décès après une fausse assurance. P2 qualitative, sans fréquence mesurée. Cible G3 × P1 = 3, moyenne, uniquement si les mesures et essais justifient P1 ; acceptation différée. Le score du TP ne détermine pas la classe MDR. Vérification T17 et validation du parcours médical nécessaires.</x:v>
      </x:c>
    </x:row>
    <x:row r="26" ht="120" customHeight="1">
      <x:c r="A26" s="40" t="n">
        <x:v>18</x:v>
      </x:c>
      <x:c r="B26" s="41" t="str">
        <x:v>Technique</x:v>
      </x:c>
      <x:c r="C26" s="41" t="str">
        <x:v>Ralentissement ou indisponibilité de l'affichage</x:v>
      </x:c>
      <x:c r="D26" s="41" t="str">
        <x:v>CSV qui grossit → fichier entier relu chaque seconde → charge mémoire/CPU accrue → affichage retardé ou bloqué.</x:v>
      </x:c>
      <x:c r="E26" s="41" t="str">
        <x:v>Dans un suivi prolongé, le lecteur n'obtient plus les informations attendues ou interprète un affichage figé.</x:v>
      </x:c>
      <x:c r="F26" s="41" t="str">
        <x:v>Retard de consultation ou de prise en charge cardiovasculaire après une fausse assurance, avec aggravation grave, séquelles ou décès possibles dans le scénario défavorable.</x:v>
      </x:c>
      <x:c r="G26" s="42" t="n">
        <x:v>3</x:v>
      </x:c>
      <x:c r="H26" s="42" t="n">
        <x:v>2</x:v>
      </x:c>
      <x:c r="I26" s="40" t="n">
        <x:f>IF(OR(G26="",H26=""),"",G26*H26)</x:f>
        <x:v>6</x:v>
      </x:c>
      <x:c r="J26" s="40" t="str">
        <x:f>IF(I26="","",IF(I26&gt;='Échelles'!$C$15,"Élevé : inacceptable",IF(I26&gt;='Échelles'!$C$14,"Moyen : à réduire","Faible : acceptable")))</x:f>
        <x:v>Élevé : inacceptable</x:v>
      </x:c>
      <x:c r="K26" s="41" t="str">
        <x:v>Lire seulement les données nécessaires et limiter la taille des fichiers par rotation. Dimensionner pour la durée d'acquisition prévue.</x:v>
      </x:c>
      <x:c r="L26" s="41" t="str">
        <x:v>Surveiller délai de rafraîchissement, espace disque et erreurs d'écriture. Rendre visible tout arrêt ou retard de l'affichage.</x:v>
      </x:c>
      <x:c r="M26" s="41" t="str">
        <x:v>Définir durée de session et archivage. Ne pas interpréter une vue figée comme un suivi actuel. Aucun résultat ne doit être utilisé pour exclure une complication ou différer une consultation devant des symptômes.</x:v>
      </x:c>
      <x:c r="N26" s="42" t="n">
        <x:v>3</x:v>
      </x:c>
      <x:c r="O26" s="42" t="n">
        <x:v>1</x:v>
      </x:c>
      <x:c r="P26" s="40" t="n">
        <x:f>IF(OR(N26="",O26=""),"",N26*O26)</x:f>
        <x:v>3</x:v>
      </x:c>
      <x:c r="Q26" s="40" t="str">
        <x:f>IF(P26="","",IF(P26&gt;='Échelles'!$C$15,"Élevé : inacceptable",IF(P26&gt;='Échelles'!$C$14,"Moyen : à réduire","Faible : acceptable")))</x:f>
        <x:v>Moyen : à réduire</x:v>
      </x:c>
      <x:c r="R26" s="41" t="str">
        <x:v>G3 conservatrice pour le scénario cardiovasculaire défavorable ; le périmètre ne permet pas d’exclure séquelles ou décès après une fausse assurance. P2 qualitative, sans fréquence mesurée. Cible G3 × P1 = 3, moyenne, uniquement si les mesures et essais justifient P1 ; acceptation différée. Le score du TP ne détermine pas la classe MDR. Vérification T18 et validation du parcours médical nécessaires.</x:v>
      </x:c>
    </x:row>
    <x:row r="27" ht="120" customHeight="1">
      <x:c r="A27" s="40" t="n">
        <x:v>19</x:v>
      </x:c>
      <x:c r="B27" s="41" t="str">
        <x:v>Technique</x:v>
      </x:c>
      <x:c r="C27" s="41" t="str">
        <x:v>Mesures MQTT supposées transmises sans confirmation</x:v>
      </x:c>
      <x:c r="D27" s="41" t="str">
        <x:v>Option MQTT activée → serveur indisponible ou publication non aboutie → absence de confirmation suivie → données manquantes non distinguées de données reçues.</x:v>
      </x:c>
      <x:c r="E27" s="41" t="str">
        <x:v>Un futur destinataire du suivi dispose d'un enregistrement incomplet alors que les mesures existent sur le PC local.</x:v>
      </x:c>
      <x:c r="F27" s="41" t="str">
        <x:v>Retard de consultation ou de prise en charge cardiovasculaire après une fausse assurance, avec aggravation grave, séquelles ou décès possibles dans le scénario défavorable.</x:v>
      </x:c>
      <x:c r="G27" s="42" t="n">
        <x:v>3</x:v>
      </x:c>
      <x:c r="H27" s="42" t="n">
        <x:v>2</x:v>
      </x:c>
      <x:c r="I27" s="40" t="n">
        <x:f>IF(OR(G27="",H27=""),"",G27*H27)</x:f>
        <x:v>6</x:v>
      </x:c>
      <x:c r="J27" s="40" t="str">
        <x:f>IF(I27="","",IF(I27&gt;='Échelles'!$C$15,"Élevé : inacceptable",IF(I27&gt;='Échelles'!$C$14,"Moyen : à réduire","Faible : acceptable")))</x:f>
        <x:v>Élevé : inacceptable</x:v>
      </x:c>
      <x:c r="K27" s="41" t="str">
        <x:v>Suivre les confirmations de publication et conserver une file de reprise bornée. Définir séparément réception serveur et traitement par le destinataire.</x:v>
      </x:c>
      <x:c r="L27" s="41" t="str">
        <x:v>Afficher les mesures en attente/échouées. Surveiller la liaison et empêcher une interprétation qui suppose un suivi complet non reçu.</x:v>
      </x:c>
      <x:c r="M27" s="41" t="str">
        <x:v>Distinguer « enregistré localement » et « reçu par le serveur ». Expliquer comment reprendre après une interruption. Aucun résultat ne doit être utilisé pour exclure une complication ou différer une consultation devant des symptômes.</x:v>
      </x:c>
      <x:c r="N27" s="42" t="n">
        <x:v>3</x:v>
      </x:c>
      <x:c r="O27" s="42" t="n">
        <x:v>1</x:v>
      </x:c>
      <x:c r="P27" s="40" t="n">
        <x:f>IF(OR(N27="",O27=""),"",N27*O27)</x:f>
        <x:v>3</x:v>
      </x:c>
      <x:c r="Q27" s="40" t="str">
        <x:f>IF(P27="","",IF(P27&gt;='Échelles'!$C$15,"Élevé : inacceptable",IF(P27&gt;='Échelles'!$C$14,"Moyen : à réduire","Faible : acceptable")))</x:f>
        <x:v>Moyen : à réduire</x:v>
      </x:c>
      <x:c r="R27" s="41" t="str">
        <x:v>G3 conservatrice pour le scénario cardiovasculaire défavorable ; le périmètre ne permet pas d’exclure séquelles ou décès après une fausse assurance. P2 qualitative, sans fréquence mesurée. Cible G3 × P1 = 3, moyenne, uniquement si les mesures et essais justifient P1 ; acceptation différée. Le score du TP ne détermine pas la classe MDR. Vérification T19 et validation du parcours médical nécessaires.</x:v>
      </x:c>
    </x:row>
    <x:row r="28" ht="120" customHeight="1">
      <x:c r="A28" s="40" t="n">
        <x:v>20</x:v>
      </x:c>
      <x:c r="B28" s="41" t="str">
        <x:v>Utilisation</x:v>
      </x:c>
      <x:c r="C28" s="41" t="str">
        <x:v>Intervention alors que la batterie reste connectée</x:v>
      </x:c>
      <x:c r="D28" s="41" t="str">
        <x:v>Interrupteur sur arrêt → utilisateur croit le pack isolé → ouverture/manipulation interne → court-circuit ou défaut pendant la charge.</x:v>
      </x:c>
      <x:c r="E28" s="41" t="str">
        <x:v>Une personne intervient dans la coque sur un circuit toujours relié à la batterie ou au chargeur.</x:v>
      </x:c>
      <x:c r="F28" s="41" t="str">
        <x:v>Brûlure des doigts ou de la main, avec séquelles possibles en cas de défaut du pack.</x:v>
      </x:c>
      <x:c r="G28" s="42" t="n">
        <x:v>3</x:v>
      </x:c>
      <x:c r="H28" s="42" t="n">
        <x:v>2</x:v>
      </x:c>
      <x:c r="I28" s="40" t="n">
        <x:f>IF(OR(G28="",H28=""),"",G28*H28)</x:f>
        <x:v>6</x:v>
      </x:c>
      <x:c r="J28" s="40" t="str">
        <x:f>IF(I28="","",IF(I28&gt;='Échelles'!$C$15,"Élevé : inacceptable",IF(I28&gt;='Échelles'!$C$14,"Moyen : à réduire","Faible : acceptable")))</x:f>
        <x:v>Élevé : inacceptable</x:v>
      </x:c>
      <x:c r="K28" s="41" t="str">
        <x:v>Prévoir une isolation réelle pour la maintenance et un accès maîtrisé au pack. Identifier clairement la différence entre arrêt 5 V et déconnexion.</x:v>
      </x:c>
      <x:c r="L28" s="41" t="str">
        <x:v>Vérifier l'absence d'alimentation avant intervention et protéger les bornes. Maintenir la protection du pack indépendamment du bouton marche/arrêt.</x:v>
      </x:c>
      <x:c r="M28" s="41" t="str">
        <x:v>Arrêt ne signifie pas batterie débranchée. Définir une procédure de maintenance avec USB retiré et pack isolé par une personne compétente.</x:v>
      </x:c>
      <x:c r="N28" s="42" t="n">
        <x:v>3</x:v>
      </x:c>
      <x:c r="O28" s="42" t="n">
        <x:v>1</x:v>
      </x:c>
      <x:c r="P28" s="40" t="n">
        <x:f>IF(OR(N28="",O28=""),"",N28*O28)</x:f>
        <x:v>3</x:v>
      </x:c>
      <x:c r="Q28" s="40" t="str">
        <x:f>IF(P28="","",IF(P28&gt;='Échelles'!$C$15,"Élevé : inacceptable",IF(P28&gt;='Échelles'!$C$14,"Moyen : à réduire","Faible : acceptable")))</x:f>
        <x:v>Moyen : à réduire</x:v>
      </x:c>
      <x:c r="R28" s="41" t="str">
        <x:v>G3 pour brûlure avec séquelles ; P2 hypothétique lors d'une intervention. Cible moyenne, acceptation différée jusqu'aux vérifications et justification du bénéfice. Complète R2/R3. La recharge à l'arrêt est un fonctionnement prévu, pas une panne.</x:v>
      </x:c>
    </x:row>
    <x:row r="29" ht="120" customHeight="1">
      <x:c r="A29" s="40" t="n">
        <x:v>21</x:v>
      </x:c>
      <x:c r="B29" s="41" t="str">
        <x:v>Technique</x:v>
      </x:c>
      <x:c r="C29" s="41" t="str">
        <x:v>Démarrage impossible ou instable de l'alimentation</x:v>
      </x:c>
      <x:c r="D29" s="41" t="str">
        <x:v>Appel de courant élevé à l'allumage → convertisseur ne démarre pas correctement → acquisition absente ou redémarrages.</x:v>
      </x:c>
      <x:c r="E29" s="41" t="str">
        <x:v>L'utilisateur pense avoir commencé le suivi alors que la souris ou ses capteurs n'enregistrent pas correctement.</x:v>
      </x:c>
      <x:c r="F29" s="41" t="str">
        <x:v>Retard de consultation ou de prise en charge cardiovasculaire après une fausse assurance, avec aggravation grave, séquelles ou décès possibles dans le scénario défavorable.</x:v>
      </x:c>
      <x:c r="G29" s="42" t="n">
        <x:v>3</x:v>
      </x:c>
      <x:c r="H29" s="42" t="n">
        <x:v>2</x:v>
      </x:c>
      <x:c r="I29" s="40" t="n">
        <x:f>IF(OR(G29="",H29=""),"",G29*H29)</x:f>
        <x:v>6</x:v>
      </x:c>
      <x:c r="J29" s="40" t="str">
        <x:f>IF(I29="","",IF(I29&gt;='Échelles'!$C$15,"Élevé : inacceptable",IF(I29&gt;='Échelles'!$C$14,"Moyen : à réduire","Faible : acceptable")))</x:f>
        <x:v>Élevé : inacceptable</x:v>
      </x:c>
      <x:c r="K29" s="41" t="str">
        <x:v>Mesurer l'appel de courant et dimensionner l'alimentation. Séquencer les charges si nécessaire et qualifier les transitions USB/batterie.</x:v>
      </x:c>
      <x:c r="L29" s="41" t="str">
        <x:v>Détecter redémarrages et tensions insuffisantes. Signaler « acquisition non démarrée » jusqu'à réception de données valides.</x:v>
      </x:c>
      <x:c r="M29" s="41" t="str">
        <x:v>Vérifier le démarrage effectif de l'acquisition ; un voyant d'alimentation ne prouve pas l'enregistrement des capteurs. Aucun résultat ne doit être utilisé pour exclure une complication ou différer une consultation devant des symptômes.</x:v>
      </x:c>
      <x:c r="N29" s="42" t="n">
        <x:v>3</x:v>
      </x:c>
      <x:c r="O29" s="42" t="n">
        <x:v>1</x:v>
      </x:c>
      <x:c r="P29" s="40" t="n">
        <x:f>IF(OR(N29="",O29=""),"",N29*O29)</x:f>
        <x:v>3</x:v>
      </x:c>
      <x:c r="Q29" s="40" t="str">
        <x:f>IF(P29="","",IF(P29&gt;='Échelles'!$C$15,"Élevé : inacceptable",IF(P29&gt;='Échelles'!$C$14,"Moyen : à réduire","Faible : acceptable")))</x:f>
        <x:v>Moyen : à réduire</x:v>
      </x:c>
      <x:c r="R29" s="41" t="str">
        <x:v>G3 conservatrice pour le scénario cardiovasculaire défavorable ; le périmètre ne permet pas d’exclure séquelles ou décès après une fausse assurance. P2 qualitative, sans fréquence mesurée. Cible G3 × P1 = 3, moyenne, uniquement si les mesures et essais justifient P1 ; acceptation différée. Le score du TP ne détermine pas la classe MDR. Vérification T21 et validation du parcours médical nécessaires.</x:v>
      </x:c>
    </x:row>
    <x:row r="30" ht="120" customHeight="1">
      <x:c r="A30" s="40" t="n">
        <x:v>22</x:v>
      </x:c>
      <x:c r="B30" s="41" t="str">
        <x:v>Technique</x:v>
      </x:c>
      <x:c r="C30" s="41" t="str">
        <x:v>Performance optique insuffisante selon l'utilisateur</x:v>
      </x:c>
      <x:c r="D30" s="41" t="str">
        <x:v>Pigmentation, perfusion ou température cutanée défavorable → mesure optique biaisée malgré un indice de confiance accepté → résultat interprété.</x:v>
      </x:c>
      <x:c r="E30" s="41" t="str">
        <x:v>Un utilisateur hors des conditions validées reçoit un résultat présenté avec la même fiabilité que les autres.</x:v>
      </x:c>
      <x:c r="F30" s="41" t="str">
        <x:v>Retard de consultation ou de prise en charge cardiovasculaire après une fausse assurance, avec aggravation grave, séquelles ou décès possibles dans le scénario défavorable.</x:v>
      </x:c>
      <x:c r="G30" s="42" t="n">
        <x:v>3</x:v>
      </x:c>
      <x:c r="H30" s="42" t="n">
        <x:v>2</x:v>
      </x:c>
      <x:c r="I30" s="40" t="n">
        <x:f>IF(OR(G30="",H30=""),"",G30*H30)</x:f>
        <x:v>6</x:v>
      </x:c>
      <x:c r="J30" s="40" t="str">
        <x:f>IF(I30="","",IF(I30&gt;='Échelles'!$C$15,"Élevé : inacceptable",IF(I30&gt;='Échelles'!$C$14,"Moyen : à réduire","Faible : acceptable")))</x:f>
        <x:v>Élevé : inacceptable</x:v>
      </x:c>
      <x:c r="K30" s="41" t="str">
        <x:v>Valider capteur, placement et traitement sur une population et des conditions représentatives. Définir et respecter le domaine de validité.</x:v>
      </x:c>
      <x:c r="L30" s="41" t="str">
        <x:v>Invalider les mesures hors conditions vérifiées. Évaluer la qualité réelle par comparaison à une référence, pas seulement par le score du module.</x:v>
      </x:c>
      <x:c r="M30" s="41" t="str">
        <x:v>Expliquer les limites de la mesure optique et le caractère expérimental de la SpO2 ; aucune conclusion diagnostique à partir du seul affichage. Aucun résultat ne doit être utilisé pour exclure une complication ou différer une consultation devant des symptômes.</x:v>
      </x:c>
      <x:c r="N30" s="42" t="n">
        <x:v>3</x:v>
      </x:c>
      <x:c r="O30" s="42" t="n">
        <x:v>1</x:v>
      </x:c>
      <x:c r="P30" s="40" t="n">
        <x:f>IF(OR(N30="",O30=""),"",N30*O30)</x:f>
        <x:v>3</x:v>
      </x:c>
      <x:c r="Q30" s="40" t="str">
        <x:f>IF(P30="","",IF(P30&gt;='Échelles'!$C$15,"Élevé : inacceptable",IF(P30&gt;='Échelles'!$C$14,"Moyen : à réduire","Faible : acceptable")))</x:f>
        <x:v>Moyen : à réduire</x:v>
      </x:c>
      <x:c r="R30" s="41" t="str">
        <x:v>G3 conservatrice pour le scénario cardiovasculaire défavorable ; le périmètre ne permet pas d’exclure séquelles ou décès après une fausse assurance. P2 qualitative, sans fréquence mesurée. Cible G3 × P1 = 3, moyenne, uniquement si les mesures et essais justifient P1 ; acceptation différée. Le score du TP ne détermine pas la classe MDR. Vérification T22 et validation du parcours médical nécessaires.</x:v>
      </x:c>
    </x:row>
    <x:row r="32" ht="30" customHeight="1">
      <x:c r="A32" s="44" t="str">
        <x:v>Failles, preuves, essais et choix de relecture dans « Failles et preuves ». Des scénarios peuvent être fusionnés avec une ligne existante : ne pas additionner ces comptes comme des risques indépendants.</x:v>
      </x:c>
      <x:c r="B32" s="44"/>
      <x:c r="C32" s="44"/>
      <x:c r="D32" s="44"/>
      <x:c r="E32" s="44"/>
      <x:c r="F32" s="44"/>
      <x:c r="G32" s="44"/>
      <x:c r="H32" s="44"/>
      <x:c r="I32" s="44"/>
      <x:c r="J32" s="44"/>
      <x:c r="K32" s="44"/>
      <x:c r="L32" s="44"/>
      <x:c r="M32" s="44"/>
      <x:c r="N32" s="44"/>
      <x:c r="O32" s="44"/>
      <x:c r="P32" s="44"/>
      <x:c r="Q32" s="44"/>
      <x:c r="R32" s="44"/>
    </x:row>
  </x:sheetData>
  <x:mergeCells>
    <x:mergeCell ref="A4:B4"/>
    <x:mergeCell ref="A2:B2"/>
    <x:mergeCell ref="C3:F3"/>
    <x:mergeCell ref="C4:F4"/>
    <x:mergeCell ref="R7:R7"/>
    <x:mergeCell ref="N7:Q7"/>
    <x:mergeCell ref="G7:J7"/>
    <x:mergeCell ref="C2:F2"/>
    <x:mergeCell ref="A3:B3"/>
    <x:mergeCell ref="K7:M7"/>
    <x:mergeCell ref="A7:F7"/>
    <x:mergeCell ref="A5:R5"/>
    <x:mergeCell ref="A6:R6"/>
    <x:mergeCell ref="A32:R32"/>
  </x:mergeCells>
  <x:conditionalFormatting sqref="I9:J30">
    <x:cfRule type="expression" dxfId="3" priority="7">
      <x:formula>AND(ISNUMBER($I9),$I9&gt;=6)</x:formula>
    </x:cfRule>
    <x:cfRule type="expression" dxfId="4" priority="8">
      <x:formula>AND(ISNUMBER($I9),$I9&gt;=3,$I9&lt;6)</x:formula>
    </x:cfRule>
    <x:cfRule type="expression" dxfId="5" priority="9">
      <x:formula>AND(ISNUMBER($I9),$I9&lt;3)</x:formula>
    </x:cfRule>
  </x:conditionalFormatting>
  <x:conditionalFormatting sqref="P9:Q30">
    <x:cfRule type="expression" dxfId="6" priority="10">
      <x:formula>AND(ISNUMBER($P9),$P9&gt;=6)</x:formula>
    </x:cfRule>
    <x:cfRule type="expression" dxfId="7" priority="11">
      <x:formula>AND(ISNUMBER($P9),$P9&gt;=3,$P9&lt;6)</x:formula>
    </x:cfRule>
    <x:cfRule type="expression" dxfId="8" priority="12">
      <x:formula>AND(ISNUMBER($P9),$P9&lt;3)</x:formula>
    </x:cfRule>
  </x:conditionalFormatting>
  <x:dataValidations count="8">
    <x:dataValidation type="list" allowBlank="1" showDropDown="0" showInputMessage="0" showErrorMessage="0" sqref="C3">
      <x:formula1>"G — Souris P4 — batterie unique 1 500 mAh"</x:formula1>
    </x:dataValidation>
    <x:dataValidation type="list" allowBlank="1" showDropDown="0" showInputMessage="0" showErrorMessage="0" errorTitle="Valeur non prévue" error="Choisissez une valeur de la liste." promptTitle="Choix" prompt="Technique, Utilisation ou Cybersécurité" sqref="B9 B10 B11 B12 B13 B14 B15 B16 B17 B18">
      <x:formula1>"Technique,Utilisation,Cybersécurité"</x:formula1>
    </x:dataValidation>
    <x:dataValidation type="list" allowBlank="1" showDropDown="0" showInputMessage="0" showErrorMessage="0" errorTitle="Valeur non prévue" error="Choisissez une valeur de la liste." promptTitle="Choix" prompt="1, 2 ou 3 (voir l'onglet Échelles)" sqref="G9 G10 G11 G12 G13 G14 G15 G16 G17 G18 H9 H10 H11 H12 H13 H14 H15 H16 H17 H18 N9 N10 N11 N12 N13 N14 N15 N16 N17 N18 O9 O10 O11 O12 O13 O14 O15 O16 O17 O18">
      <x:formula1>"1,2,3"</x:formula1>
    </x:dataValidation>
    <x:dataValidation type="list" sqref="B19:B30">
      <x:formula1>"Technique,Utilisation,Cybersécurité"</x:formula1>
    </x:dataValidation>
    <x:dataValidation type="list" sqref="G19:G30">
      <x:formula1>"1,2,3"</x:formula1>
    </x:dataValidation>
    <x:dataValidation type="list" sqref="H19:H30">
      <x:formula1>"1,2,3"</x:formula1>
    </x:dataValidation>
    <x:dataValidation type="list" sqref="N19:N30">
      <x:formula1>"1,2,3"</x:formula1>
    </x:dataValidation>
    <x:dataValidation type="list" sqref="O19:O30">
      <x:formula1>"1,2,3"</x:formula1>
    </x:dataValidation>
  </x:dataValidations>
  <x:pageMargins left="0.7" right="0.7" top="0.75" bottom="0.75" header="0.3" footer="0.3"/>
</x:worksheet>
</file>

<file path=xl/worksheets/sheet4.xml><?xml version="1.0" encoding="utf-8"?>
<x:worksheet xmlns:x="http://schemas.openxmlformats.org/spreadsheetml/2006/main">
  <x:sheetFormatPr baseColWidth="8" defaultRowHeight="15"/>
  <x:cols>
    <x:col min="1" max="1" width="26" customWidth="1"/>
    <x:col min="2" max="2" width="15" customWidth="1"/>
    <x:col min="3" max="3" width="15" customWidth="1"/>
    <x:col min="4" max="4" width="15" customWidth="1"/>
    <x:col min="5" max="5" width="15" customWidth="1"/>
    <x:col min="6" max="6" width="15" customWidth="1"/>
    <x:col min="7" max="7" width="15" customWidth="1"/>
    <x:col min="8" max="8" width="15" customWidth="1"/>
  </x:cols>
  <x:sheetData>
    <x:row r="1">
      <x:c r="A1" s="6" t="str">
        <x:v>Synthèse — 22 scénarios du cas G</x:v>
      </x:c>
    </x:row>
    <x:row r="2" ht="32" customHeight="1">
      <x:c r="A2" s="32" t="str">
        <x:v>Risques 1 à 22. Après = cible conditionnelle, pas état réel de sécurité du prototype.</x:v>
      </x:c>
      <x:c r="B2" s="32"/>
      <x:c r="C2" s="32"/>
      <x:c r="D2" s="32"/>
      <x:c r="E2" s="32"/>
      <x:c r="F2" s="32"/>
      <x:c r="G2" s="32"/>
      <x:c r="H2" s="32"/>
    </x:row>
    <x:row r="3">
      <x:c r="A3" s="9" t="inlineStr">
        <x:is>
          <x:t xml:space="preserve">AVANT les mesures</x:t>
        </x:is>
      </x:c>
      <x:c r="E3" s="9" t="str">
        <x:v>APRÈS mesures vérifiées : cible</x:v>
      </x:c>
    </x:row>
    <x:row r="4" ht="36" customHeight="1">
      <x:c r="A4" s="45" t="inlineStr">
        <x:is>
          <x:t xml:space="preserve">Gravité ↓ / Probabilité →</x:t>
        </x:is>
      </x:c>
      <x:c r="B4" s="46" t="inlineStr">
        <x:is>
          <x:t xml:space="preserve">1 Rare</x:t>
        </x:is>
      </x:c>
      <x:c r="C4" s="46" t="inlineStr">
        <x:is>
          <x:t xml:space="preserve">2 Possible</x:t>
        </x:is>
      </x:c>
      <x:c r="D4" s="46" t="inlineStr">
        <x:is>
          <x:t xml:space="preserve">3 Fréquente</x:t>
        </x:is>
      </x:c>
      <x:c r="E4" s="45" t="inlineStr">
        <x:is>
          <x:t xml:space="preserve">Gravité ↓ / Probabilité →</x:t>
        </x:is>
      </x:c>
      <x:c r="F4" s="46" t="inlineStr">
        <x:is>
          <x:t xml:space="preserve">1 Rare</x:t>
        </x:is>
      </x:c>
      <x:c r="G4" s="46" t="inlineStr">
        <x:is>
          <x:t xml:space="preserve">2 Possible</x:t>
        </x:is>
      </x:c>
      <x:c r="H4" s="46" t="inlineStr">
        <x:is>
          <x:t xml:space="preserve">3 Fréquente</x:t>
        </x:is>
      </x:c>
    </x:row>
    <x:row r="5" ht="28" customHeight="1">
      <x:c r="A5" s="7" t="inlineStr">
        <x:is>
          <x:t xml:space="preserve">3 Grave</x:t>
        </x:is>
      </x:c>
      <x:c r="B5" s="23" t="n">
        <x:f>COUNTIFS('Analyse de risques'!$G$9:$G$30,3,'Analyse de risques'!$H$9:$H$30,1)</x:f>
        <x:v>0</x:v>
      </x:c>
      <x:c r="C5" s="24" t="n">
        <x:f>COUNTIFS('Analyse de risques'!$G$9:$G$30,3,'Analyse de risques'!$H$9:$H$30,2)</x:f>
        <x:v>19</x:v>
      </x:c>
      <x:c r="D5" s="24" t="n">
        <x:f>COUNTIFS('Analyse de risques'!$G$9:$G$30,3,'Analyse de risques'!$H$9:$H$30,3)</x:f>
        <x:v>0</x:v>
      </x:c>
      <x:c r="E5" s="7" t="inlineStr">
        <x:is>
          <x:t xml:space="preserve">3 Grave</x:t>
        </x:is>
      </x:c>
      <x:c r="F5" s="23" t="n">
        <x:f>COUNTIFS('Analyse de risques'!$N$9:$N$30,3,'Analyse de risques'!$O$9:$O$30,1)</x:f>
        <x:v>19</x:v>
      </x:c>
      <x:c r="G5" s="24" t="n">
        <x:f>COUNTIFS('Analyse de risques'!$N$9:$N$30,3,'Analyse de risques'!$O$9:$O$30,2)</x:f>
        <x:v>0</x:v>
      </x:c>
      <x:c r="H5" s="24" t="n">
        <x:f>COUNTIFS('Analyse de risques'!$N$9:$N$30,3,'Analyse de risques'!$O$9:$O$30,3)</x:f>
        <x:v>0</x:v>
      </x:c>
    </x:row>
    <x:row r="6" ht="28" customHeight="1">
      <x:c r="A6" s="7" t="inlineStr">
        <x:is>
          <x:t xml:space="preserve">2 Modérée</x:t>
        </x:is>
      </x:c>
      <x:c r="B6" s="25" t="n">
        <x:f>COUNTIFS('Analyse de risques'!$G$9:$G$30,2,'Analyse de risques'!$H$9:$H$30,1)</x:f>
        <x:v>0</x:v>
      </x:c>
      <x:c r="C6" s="23" t="n">
        <x:f>COUNTIFS('Analyse de risques'!$G$9:$G$30,2,'Analyse de risques'!$H$9:$H$30,2)</x:f>
        <x:v>2</x:v>
      </x:c>
      <x:c r="D6" s="24" t="n">
        <x:f>COUNTIFS('Analyse de risques'!$G$9:$G$30,2,'Analyse de risques'!$H$9:$H$30,3)</x:f>
        <x:v>1</x:v>
      </x:c>
      <x:c r="E6" s="7" t="inlineStr">
        <x:is>
          <x:t xml:space="preserve">2 Modérée</x:t>
        </x:is>
      </x:c>
      <x:c r="F6" s="25" t="n">
        <x:f>COUNTIFS('Analyse de risques'!$N$9:$N$30,2,'Analyse de risques'!$O$9:$O$30,1)</x:f>
        <x:v>3</x:v>
      </x:c>
      <x:c r="G6" s="23" t="n">
        <x:f>COUNTIFS('Analyse de risques'!$N$9:$N$30,2,'Analyse de risques'!$O$9:$O$30,2)</x:f>
        <x:v>0</x:v>
      </x:c>
      <x:c r="H6" s="24" t="n">
        <x:f>COUNTIFS('Analyse de risques'!$N$9:$N$30,2,'Analyse de risques'!$O$9:$O$30,3)</x:f>
        <x:v>0</x:v>
      </x:c>
    </x:row>
    <x:row r="7" ht="28" customHeight="1">
      <x:c r="A7" s="7" t="inlineStr">
        <x:is>
          <x:t xml:space="preserve">1 Légère</x:t>
        </x:is>
      </x:c>
      <x:c r="B7" s="25" t="n">
        <x:f>COUNTIFS('Analyse de risques'!$G$9:$G$30,1,'Analyse de risques'!$H$9:$H$30,1)</x:f>
        <x:v>0</x:v>
      </x:c>
      <x:c r="C7" s="25" t="n">
        <x:f>COUNTIFS('Analyse de risques'!$G$9:$G$30,1,'Analyse de risques'!$H$9:$H$30,2)</x:f>
        <x:v>0</x:v>
      </x:c>
      <x:c r="D7" s="23" t="n">
        <x:f>COUNTIFS('Analyse de risques'!$G$9:$G$30,1,'Analyse de risques'!$H$9:$H$30,3)</x:f>
        <x:v>0</x:v>
      </x:c>
      <x:c r="E7" s="7" t="inlineStr">
        <x:is>
          <x:t xml:space="preserve">1 Légère</x:t>
        </x:is>
      </x:c>
      <x:c r="F7" s="25" t="n">
        <x:f>COUNTIFS('Analyse de risques'!$N$9:$N$30,1,'Analyse de risques'!$O$9:$O$30,1)</x:f>
        <x:v>0</x:v>
      </x:c>
      <x:c r="G7" s="25" t="n">
        <x:f>COUNTIFS('Analyse de risques'!$N$9:$N$30,1,'Analyse de risques'!$O$9:$O$30,2)</x:f>
        <x:v>0</x:v>
      </x:c>
      <x:c r="H7" s="23" t="n">
        <x:f>COUNTIFS('Analyse de risques'!$N$9:$N$30,1,'Analyse de risques'!$O$9:$O$30,3)</x:f>
        <x:v>0</x:v>
      </x:c>
    </x:row>
    <x:row r="8">
      <x:c r="A8" s="26" t="inlineStr">
        <x:is>
          <x:t xml:space="preserve">(nombre de risques dans chaque case)</x:t>
        </x:is>
      </x:c>
      <x:c r="E8" s="26" t="inlineStr">
        <x:is>
          <x:t xml:space="preserve">(nombre de risques dans chaque case)</x:t>
        </x:is>
      </x:c>
    </x:row>
    <x:row r="11">
      <x:c r="A11" s="9" t="str">
        <x:v>Comptage des scénarios</x:v>
      </x:c>
    </x:row>
    <x:row r="12" ht="34" customHeight="1">
      <x:c r="A12" s="47" t="str">
        <x:v>Scénarios étudiés</x:v>
      </x:c>
      <x:c r="B12" s="35" t="n">
        <x:f>COUNTA('Analyse de risques'!$C$9:$C$30)</x:f>
        <x:v>22</x:v>
      </x:c>
      <x:c r="C12" s="47" t="str">
        <x:f>B12&amp;" scénarios ; cotations à valider par les essais"</x:f>
        <x:v>22 scénarios ; cotations à valider par les essais</x:v>
      </x:c>
      <x:c r="D12" s="48" t="n"/>
      <x:c r="E12" s="48" t="n"/>
      <x:c r="F12" s="48" t="n"/>
      <x:c r="G12" s="48" t="n"/>
      <x:c r="H12" s="49" t="n"/>
    </x:row>
    <x:row r="13" ht="34" customHeight="1">
      <x:c r="A13" s="47" t="inlineStr">
        <x:is>
          <x:t xml:space="preserve">dont techniques</x:t>
        </x:is>
      </x:c>
      <x:c r="B13" s="35" t="n">
        <x:f>COUNTIF('Analyse de risques'!$B$9:$B$30,"Technique")</x:f>
        <x:v>15</x:v>
      </x:c>
      <x:c r="C13" s="47" t="str">
        <x:f>IF(B13&gt;=1,"OK","Ajoutez un danger technique")</x:f>
        <x:v>OK</x:v>
      </x:c>
      <x:c r="D13" s="48" t="n"/>
      <x:c r="E13" s="48" t="n"/>
      <x:c r="F13" s="48" t="n"/>
      <x:c r="G13" s="48" t="n"/>
      <x:c r="H13" s="49" t="n"/>
    </x:row>
    <x:row r="14" ht="34" customHeight="1">
      <x:c r="A14" s="47" t="inlineStr">
        <x:is>
          <x:t xml:space="preserve">dont d'utilisation</x:t>
        </x:is>
      </x:c>
      <x:c r="B14" s="35" t="n">
        <x:f>COUNTIF('Analyse de risques'!$B$9:$B$30,"Utilisation")</x:f>
        <x:v>5</x:v>
      </x:c>
      <x:c r="C14" s="47" t="str">
        <x:f>IF(B14&gt;=1,"OK","Ajoutez un danger d'utilisation")</x:f>
        <x:v>OK</x:v>
      </x:c>
      <x:c r="D14" s="48" t="n"/>
      <x:c r="E14" s="48" t="n"/>
      <x:c r="F14" s="48" t="n"/>
      <x:c r="G14" s="48" t="n"/>
      <x:c r="H14" s="49" t="n"/>
    </x:row>
    <x:row r="15" ht="34" customHeight="1">
      <x:c r="A15" s="47" t="inlineStr">
        <x:is>
          <x:t xml:space="preserve">dont de cybersécurité</x:t>
        </x:is>
      </x:c>
      <x:c r="B15" s="35" t="n">
        <x:f>COUNTIF('Analyse de risques'!$B$9:$B$30,"Cybersécurité")</x:f>
        <x:v>2</x:v>
      </x:c>
      <x:c r="C15" s="47" t="str">
        <x:f>IF(B15&gt;=1,"OK","Ajoutez un danger de cybersécurité")</x:f>
        <x:v>OK</x:v>
      </x:c>
      <x:c r="D15" s="48" t="n"/>
      <x:c r="E15" s="48" t="n"/>
      <x:c r="F15" s="48" t="n"/>
      <x:c r="G15" s="48" t="n"/>
      <x:c r="H15" s="49" t="n"/>
    </x:row>
    <x:row r="16" ht="34" customHeight="1">
      <x:c r="A16" s="47" t="str">
        <x:v>Élevés résiduels cibles</x:v>
      </x:c>
      <x:c r="B16" s="35" t="n">
        <x:f>COUNTIFS('Analyse de risques'!$P$9:$P$30,"&gt;="&amp;'Échelles'!$C$15)</x:f>
        <x:v>0</x:v>
      </x:c>
      <x:c r="C16" s="47" t="str">
        <x:f>IF(B16=0,"Aucun élevé dans les cibles ; essais encore nécessaires","Cibles à revoir : risque élevé restant")</x:f>
        <x:v>Aucun élevé dans les cibles ; essais encore nécessaires</x:v>
      </x:c>
      <x:c r="D16" s="48" t="n"/>
      <x:c r="E16" s="48" t="n"/>
      <x:c r="F16" s="48" t="n"/>
      <x:c r="G16" s="48" t="n"/>
      <x:c r="H16" s="49" t="n"/>
    </x:row>
    <x:row r="18" ht="27" customHeight="1">
      <x:c r="A18" s="51" t="str">
        <x:v>19 cibles moyennes : dangers physiques graves et scénarios médicaux réévalués. N° 6, 7 et 9 : cibles faibles. Toute acceptation reste conditionnelle aux preuves ; P1 n’est pas démontré.</x:v>
      </x:c>
      <x:c r="B18" s="51"/>
      <x:c r="C18" s="51"/>
      <x:c r="D18" s="51"/>
      <x:c r="E18" s="51"/>
      <x:c r="F18" s="51"/>
      <x:c r="G18" s="51"/>
      <x:c r="H18" s="51"/>
    </x:row>
    <x:row r="19" ht="27" customHeight="1">
      <x:c r="A19" s="51"/>
      <x:c r="B19" s="51"/>
      <x:c r="C19" s="51"/>
      <x:c r="D19" s="51"/>
      <x:c r="E19" s="51"/>
      <x:c r="F19" s="51"/>
      <x:c r="G19" s="51"/>
      <x:c r="H19" s="51"/>
    </x:row>
  </x:sheetData>
  <x:mergeCells>
    <x:mergeCell ref="C16:H16"/>
    <x:mergeCell ref="C14:H14"/>
    <x:mergeCell ref="C13:H13"/>
    <x:mergeCell ref="C12:H12"/>
    <x:mergeCell ref="C15:H15"/>
    <x:mergeCell ref="A2:H2"/>
    <x:mergeCell ref="A18:H19"/>
  </x:mergeCells>
  <x:pageMargins left="0.7" right="0.7" top="0.75" bottom="0.75" header="0.3" footer="0.3"/>
</x:worksheet>
</file>

<file path=xl/worksheets/sheet5.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2" max="2" width="60" hidden="0" customWidth="1"/>
    <x:col min="3" max="3" width="60" hidden="0" customWidth="1"/>
    <x:col min="4" max="4" width="60" hidden="0" customWidth="1"/>
    <x:col min="1" max="1" width="10" hidden="0" customWidth="1"/>
  </x:cols>
  <x:sheetData>
    <x:row r="1">
      <x:c r="A1" s="58" t="str">
        <x:v>Équipe 2 — Mesures à vérifier et sources</x:v>
      </x:c>
      <x:c r="B1" s="58"/>
      <x:c r="C1" s="58"/>
      <x:c r="D1" s="58"/>
    </x:row>
    <x:row r="3" ht="30" customHeight="1">
      <x:c r="A3" s="63" t="str">
        <x:v>Risque</x:v>
      </x:c>
      <x:c r="B3" s="63" t="str">
        <x:v>État actuel vérifié dans la branche</x:v>
      </x:c>
      <x:c r="C3" s="63" t="str">
        <x:v>Vérification à réaliser</x:v>
      </x:c>
      <x:c r="D3" s="63" t="str">
        <x:v>Statut</x:v>
      </x:c>
    </x:row>
    <x:row r="4" ht="130" customHeight="1">
      <x:c r="A4" s="61" t="n">
        <x:v>1</x:v>
      </x:c>
      <x:c r="B4" s="61" t="str">
        <x:v>R3 rejette des données optiques anciennes ; veille partielle programmée. Aucun indicateur de batterie faible ni autonomie mesurée. Le contrôle de bout en bout reste à démontrer.</x:v>
      </x:c>
      <x:c r="C4" s="61" t="str">
        <x:v>T1 — Décharger au banc et couper/reprendre le BLE. Vérifier que la coupure est visible, qu'aucune ancienne valeur n'est déclarée actuelle et qu'une session incomplète n'alimente pas une recommandation ; mesurer l'autonomie sur plusieurs cycles.</x:v>
      </x:c>
      <x:c r="D4" s="61" t="str">
        <x:v>À réaliser — aucune validation matérielle ou clinique fournie</x:v>
      </x:c>
    </x:row>
    <x:row r="5" ht="130" customHeight="1">
      <x:c r="A5" s="61" t="n">
        <x:v>2</x:v>
      </x:c>
      <x:c r="B5" s="61" t="str">
        <x:v>Une seule F15 1 500 mAh est étudiée. Protection et pack final non choisis ; F1 1 A provisoire. Le module 6106 est prévu au banc hors coque. Aucun essai thermique assemblé.</x:v>
      </x:c>
      <x:c r="C5" s="61" t="str">
        <x:v>T2 — Qualifier pack, chargeur et fusible avec leurs fiches ; mesurer charge, courant d'appel et températures dans l'enveloppe finale. Contrôler les protections sur moyens adaptés, sans provoquer de défaut dangereux sur la main d'un utilisateur.</x:v>
      </x:c>
      <x:c r="D5" s="61" t="str">
        <x:v>À réaliser — aucune validation matérielle ou clinique fournie</x:v>
      </x:c>
    </x:row>
    <x:row r="6" ht="130" customHeight="1">
      <x:c r="A6" s="61" t="n">
        <x:v>3</x:v>
      </x:c>
      <x:c r="B6" s="61" t="str">
        <x:v>Le schéma prévoit JP2 et le rail MH002 à 1,5 V ; BAT de la XIAO reste libre. Les consignes existent, mais le détrompage, le verrouillage et les essais ne sont pas réalisés.</x:v>
      </x:c>
      <x:c r="C6" s="61" t="str">
        <x:v>T3 — Sur alimentation limitée, vérifier polarités, rails 5 V/3,3 V/1,5 V, séquence de mise sous tension, isolement du port de service et absence de retour de courant ; contrôler l'inaccessibilité des contacts en charge.</x:v>
      </x:c>
      <x:c r="D6" s="61" t="str">
        <x:v>À réaliser — aucune validation matérielle ou clinique fournie</x:v>
      </x:c>
    </x:row>
    <x:row r="7" ht="130" customHeight="1">
      <x:c r="A7" s="61" t="n">
        <x:v>4</x:v>
      </x:c>
      <x:c r="B7" s="61" t="str">
        <x:v>Contrôles de qualité PPG et fraîcheur présents dans R3 ; placement, GSR, température et performance sur personnes non validés.</x:v>
      </x:c>
      <x:c r="C7" s="61" t="str">
        <x:v>T4 — Essais de mouvement, perte de contact, capteur absent et données figées ; comparer les mesures acceptées à une référence adaptée. Vérifier qu'aucune valeur invalide n'alimente un résultat médical.</x:v>
      </x:c>
      <x:c r="D7" s="61" t="str">
        <x:v>À réaliser — aucune validation matérielle ou clinique fournie</x:v>
      </x:c>
    </x:row>
    <x:row r="8" ht="130" customHeight="1">
      <x:c r="A8" s="61" t="n">
        <x:v>5</x:v>
      </x:c>
      <x:c r="B8" s="61" t="str">
        <x:v>Le dossier M3-1 décrit la finalité envisagée. R3 acquiert et présente des signaux ; aucun algorithme médical ou modèle d'IA validé n'est fourni.</x:v>
      </x:c>
      <x:c r="C8" s="61" t="str">
        <x:v>T5 — Définir avec un clinicien population, événement, horizon et données complémentaires. Valider calibration, discrimination, faux résultats et utilité ajoutée. Tester la compréhension du score et les décisions prises ; réexaminer la classe si les conséquences justifient IIb/III.</x:v>
      </x:c>
      <x:c r="D8" s="61" t="str">
        <x:v>À réaliser — aucune validation matérielle ou clinique fournie</x:v>
      </x:c>
    </x:row>
    <x:row r="9" ht="130" customHeight="1">
      <x:c r="A9" s="61" t="n">
        <x:v>6</x:v>
      </x:c>
      <x:c r="B9" s="61" t="str">
        <x:v>Base ergonomique P4 à 65° ; intégration 1 500 mAh et maintien du pack non finalisés. Pas d'essai de confort de l'ensemble assemblé.</x:v>
      </x:c>
      <x:c r="C9" s="61" t="str">
        <x:v>T6 — Après sécurité électrique, essais progressifs avec plusieurs utilisateurs de la cible, comparaison à leur souris habituelle ; relever douleur, appuis, accès aux boutons et maintien du contact sans crispation.</x:v>
      </x:c>
      <x:c r="D9" s="61" t="str">
        <x:v>À réaliser — aucune validation matérielle ou clinique fournie</x:v>
      </x:c>
    </x:row>
    <x:row r="10" ht="130" customHeight="1">
      <x:c r="A10" s="61" t="n">
        <x:v>7</x:v>
      </x:c>
      <x:c r="B10" s="61" t="str">
        <x:v>Deux contacts M4 et une coque imprimée sont prévus ; leur grade exact, finition et protocole de nettoyage restent à valider.</x:v>
      </x:c>
      <x:c r="C10" s="61" t="str">
        <x:v>T7 — Identifier les matériaux, contrôler absence d'arêtes, tenue et état de surface après nettoyages répétés ; évaluer la compatibilité avec la peau selon durée et nature du contact.</x:v>
      </x:c>
      <x:c r="D10" s="61" t="str">
        <x:v>À réaliser — aucune validation matérielle ou clinique fournie</x:v>
      </x:c>
    </x:row>
    <x:row r="11" ht="130" customHeight="1">
      <x:c r="A11" s="61" t="n">
        <x:v>8</x:v>
      </x:c>
      <x:c r="B11" s="61" t="str">
        <x:v>Le README R3 exclut le diagnostic de stress ou complication cardiovasculaire. La compréhension de l'interface et le futur parcours clinique ne sont pas testés.</x:v>
      </x:c>
      <x:c r="C11" s="61" t="str">
        <x:v>T8 — Présenter à des utilisateurs des données normales, absentes et invalides ; vérifier qu'ils n'en déduisent pas l'absence de trouble et qu'ils comprennent le rôle du professionnel.</x:v>
      </x:c>
      <x:c r="D11" s="61" t="str">
        <x:v>À réaliser — aucune validation matérielle ou clinique fournie</x:v>
      </x:c>
    </x:row>
    <x:row r="12" ht="130" customHeight="1">
      <x:c r="A12" s="61" t="n">
        <x:v>9</x:v>
      </x:c>
      <x:c r="B12" s="61" t="str">
        <x:v>R3 écrit des CSV. Option MQTT locale 127.0.0.1:1883 ; pas de TLS configuré dans gateway.py. Appairage authentifié et contrôle des accès non démontrés par ce code.</x:v>
      </x:c>
      <x:c r="C12" s="61" t="str">
        <x:v>T9 — Vérifier droits des fichiers et suppression ; tenter une lecture depuis un client non autorisé. Pour un réseau distant, contrôler certificats, refus d'accès anonyme et absence de transmission en clair.</x:v>
      </x:c>
      <x:c r="D12" s="61" t="str">
        <x:v>À réaliser — aucune validation matérielle ou clinique fournie</x:v>
      </x:c>
    </x:row>
    <x:row r="13" ht="130" customHeight="1">
      <x:c r="A13" s="61" t="n">
        <x:v>10</x:v>
      </x:c>
      <x:c r="B13" s="61" t="str">
        <x:v>gateway.py recherche le nom SourisSante-R3. Les contrôles de schéma et de fraîcheur ne constituent pas une authentification cryptographique.</x:v>
      </x:c>
      <x:c r="C13" s="61" t="str">
        <x:v>T10 — Présenter un second appareil au même nom, une session étrangère et des messages rejoués ; vérifier leur rejet et le maintien de l'association au bon utilisateur.</x:v>
      </x:c>
      <x:c r="D13" s="61" t="str">
        <x:v>À réaliser — aucune validation matérielle ou clinique fournie</x:v>
      </x:c>
    </x:row>
    <x:row r="14">
      <x:c r="A14" s="61"/>
      <x:c r="B14" s="61"/>
      <x:c r="C14" s="61"/>
      <x:c r="D14" s="61"/>
    </x:row>
    <x:row r="15" ht="30" customHeight="1">
      <x:c r="A15" s="63" t="str">
        <x:v>Source</x:v>
      </x:c>
      <x:c r="B15" s="63" t="str">
        <x:v>Document</x:v>
      </x:c>
      <x:c r="C15" s="63" t="str">
        <x:v>Lien / chemin</x:v>
      </x:c>
      <x:c r="D15" s="63" t="str">
        <x:v>Portée</x:v>
      </x:c>
    </x:row>
    <x:row r="16" ht="110" customHeight="1">
      <x:c r="A16" s="61" t="str">
        <x:v>S0</x:v>
      </x:c>
      <x:c r="B16" s="61" t="str">
        <x:v>Sujet et modèle TP M3-2 fournis par l'utilisateur</x:v>
      </x:c>
      <x:c r="C16" s="61" t="str">
        <x:v>supports/TP_M3_2_Analyse_risques_etudiant.pdf</x:v>
      </x:c>
      <x:c r="D16" s="61" t="str">
        <x:v>Sujet : pages 1 à 7 ; modèle Excel original conservé dans supports/. Matrice et seuils pédagogiques inchangés.</x:v>
      </x:c>
    </x:row>
    <x:row r="17" ht="110" customHeight="1">
      <x:c r="A17" s="61" t="str">
        <x:v>S1</x:v>
      </x:c>
      <x:c r="B17" s="61" t="str">
        <x:v>TP M3-1 : finalité du cas G et limites de classification</x:v>
      </x:c>
      <x:c r="C17" s="61" t="str">
        <x:v>https://github.com/lebretyves/TP-M3-1-Classification-Produits/blob/main/analyses/m3/cas_g.json</x:v>
      </x:c>
      <x:c r="D17" s="61" t="str">
        <x:v>Deux fonctions confirmées : suivi des tendances et score cardiovasculaire personnalisé. IIa est une hypothèse de prévention informative à confronter aux conséquences des erreurs. Les scénarios graves restent à instruire.</x:v>
      </x:c>
    </x:row>
    <x:row r="18" ht="110" customHeight="1">
      <x:c r="A18" s="61" t="str">
        <x:v>S2</x:v>
      </x:c>
      <x:c r="B18" s="61" t="str">
        <x:v>Configuration réelle 1 500 mAh</x:v>
      </x:c>
      <x:c r="C18" s="61" t="str">
        <x:v>https://github.com/lebretyves/TP4-IoT-Autonomie/blob/b7625705741e973cda2934f0b328ea03531148f6/cas_g_choisi/CONFIGURATION_1500.md</x:v>
      </x:c>
      <x:c r="D18" s="61" t="str">
        <x:v>P4, MH002, XIAO Sense, SEN-15219, GSR interne, DS18B20 ; pack et intégration non qualifiés, autonomie inconnue.</x:v>
      </x:c>
    </x:row>
    <x:row r="19" ht="110" customHeight="1">
      <x:c r="A19" s="61" t="str">
        <x:v>S3</x:v>
      </x:c>
      <x:c r="B19" s="61" t="str">
        <x:v>Câblage de banc R3 et alimentation unique</x:v>
      </x:c>
      <x:c r="C19" s="61" t="str">
        <x:v>https://github.com/lebretyves/TP4-IoT-Autonomie/blob/b7625705741e973cda2934f0b328ea03531148f6/variantes/03_batterie_unique_USB_C/CABLAGE_BANC_R3.md</x:v>
      </x:c>
      <x:c r="D19" s="61" t="str">
        <x:v>6106, USB-C 4090, rail 1,5 V TPS7A0215PDBVR, JP2 et programmation, essais cutanés sur batterie seule.</x:v>
      </x:c>
    </x:row>
    <x:row r="20" ht="110" customHeight="1">
      <x:c r="A20" s="61" t="str">
        <x:v>S4</x:v>
      </x:c>
      <x:c r="B20" s="61" t="str">
        <x:v>Logiciel R3, passerelle et contrôles de qualité</x:v>
      </x:c>
      <x:c r="C20" s="61" t="str">
        <x:v>https://github.com/lebretyves/TP4-IoT-Autonomie/tree/b7625705741e973cda2934f0b328ea03531148f6/variantes/04_veille_R3</x:v>
      </x:c>
      <x:c r="D20" s="61" t="str">
        <x:v>README.md ; logiciel/gateway.py lignes 87–128 : CSV, MQTT local, sélection BLE par nom ; quality.py : qualité PPG. Revue du code, sans nouveau test matériel.</x:v>
      </x:c>
    </x:row>
    <x:row r="21" ht="110" customHeight="1">
      <x:c r="A21" s="61" t="str">
        <x:v>S5</x:v>
      </x:c>
      <x:c r="B21" s="61" t="str">
        <x:v>Base mécanique P4</x:v>
      </x:c>
      <x:c r="C21" s="61" t="str">
        <x:v>https://github.com/lebretyves/TP4-IoT-Autonomie/tree/b7625705741e973cda2934f0b328ea03531148f6/variantes/02_souris_ergonomique_P4_R2</x:v>
      </x:c>
      <x:c r="D21" s="61" t="str">
        <x:v>Coque, plans et contacts de référence ; ne constituent pas un assemblage 1 500 mAh validé.</x:v>
      </x:c>
    </x:row>
    <x:row r="22" ht="110" customHeight="1">
      <x:c r="A22" s="61" t="str">
        <x:v>S6</x:v>
      </x:c>
      <x:c r="B22" s="61" t="str">
        <x:v>ISO 14971:2019 — page officielle</x:v>
      </x:c>
      <x:c r="C22" s="61" t="str">
        <x:v>https://www.iso.org/standard/72704.html</x:v>
      </x:c>
      <x:c r="D22" s="61" t="str">
        <x:v>Cadre de gestion des risques ; ne fixe pas les seuils du cours. Page consultée le 16 octobre 2026 ; aucun audit de conformité à la norme réalisé.</x:v>
      </x:c>
    </x:row>
    <x:row r="23" ht="110" customHeight="1">
      <x:c r="A23" s="61" t="str">
        <x:v>S7</x:v>
      </x:c>
      <x:c r="B23" s="61" t="str">
        <x:v>Adafruit 6106 — brochage constructeur</x:v>
      </x:c>
      <x:c r="C23" s="61" t="str">
        <x:v>https://learn.adafruit.com/adafruit-bq25185-usb-dc-solar-charger-with-5v-boost-board/pinouts</x:v>
      </x:c>
      <x:c r="D23" s="61" t="str">
        <x:v>Commande EN, alimentation et charge ; consulté le 16 octobre 2026. Les mesures proposées sont à qualifier dans le montage final.</x:v>
      </x:c>
    </x:row>
    <x:row r="24" ht="110" customHeight="1">
      <x:c r="A24" s="61" t="str">
        <x:v>S8</x:v>
      </x:c>
      <x:c r="B24" s="61" t="str">
        <x:v>Seeed XIAO nRF52840 — alimentation constructeur</x:v>
      </x:c>
      <x:c r="C24" s="61" t="str">
        <x:v>https://wiki.seeedstudio.com/XIAO_BLE/</x:v>
      </x:c>
      <x:c r="D24" s="61" t="str">
        <x:v>Documentation de la carte et alimentation ; consultée le 16 octobre 2026.</x:v>
      </x:c>
    </x:row>
  </x:sheetData>
  <x:mergeCells>
    <x:mergeCell ref="A1:D1"/>
  </x:mergeCells>
  <x:pageMargins left="0.7" right="0.7" top="0.75" bottom="0.75" header="0.3" footer="0.3"/>
</x:worksheet>
</file>

<file path=xl/worksheets/sheet6.xml><?xml version="1.0" encoding="utf-8"?>
<x:worksheet xmlns:x="http://schemas.openxmlformats.org/spreadsheetml/2006/main">
  <x:sheetViews>
    <x:sheetView showGridLines="0" workbookViewId="0">
      <x:pane xSplit="1" ySplit="3" topLeftCell="B4" activePane="bottomRight" state="frozen"/>
    </x:sheetView>
  </x:sheetViews>
  <x:sheetFormatPr defaultRowHeight="15"/>
  <x:cols>
    <x:col min="1" max="1" width="7" hidden="0" customWidth="1"/>
    <x:col min="2" max="2" width="42" hidden="0" customWidth="1"/>
    <x:col min="3" max="3" width="54" hidden="0" customWidth="1"/>
    <x:col min="4" max="4" width="52" hidden="0" customWidth="1"/>
    <x:col min="5" max="5" width="38" hidden="0" customWidth="1"/>
    <x:col min="6" max="6" width="14" hidden="0" customWidth="1"/>
    <x:col min="7" max="7" width="19" hidden="0" customWidth="1"/>
    <x:col min="8" max="8" width="38" hidden="0" customWidth="1"/>
  </x:cols>
  <x:sheetData>
    <x:row r="1" ht="28" customHeight="1">
      <x:c r="A1" s="58" t="str">
        <x:v>Risques supplémentaires — Failles, preuves et relecture</x:v>
      </x:c>
      <x:c r="B1" s="58"/>
      <x:c r="C1" s="58"/>
      <x:c r="D1" s="58"/>
      <x:c r="E1" s="58"/>
      <x:c r="F1" s="58"/>
      <x:c r="G1" s="58"/>
      <x:c r="H1" s="58"/>
    </x:row>
    <x:row r="2" ht="32" customHeight="1">
      <x:c r="A2" s="65" t="str">
        <x:v>Constat vérifié ≠ dommage constaté. Choisir « À ajouter », « À fusionner », « À écarter » ou « À approfondir » après lecture.</x:v>
      </x:c>
      <x:c r="B2" s="65"/>
      <x:c r="C2" s="65"/>
      <x:c r="D2" s="65"/>
      <x:c r="E2" s="65"/>
      <x:c r="F2" s="65"/>
      <x:c r="G2" s="65"/>
      <x:c r="H2" s="65"/>
    </x:row>
    <x:row r="3" ht="40" customHeight="1">
      <x:c r="A3" s="63" t="str">
        <x:v>N°</x:v>
      </x:c>
      <x:c r="B3" s="63" t="str">
        <x:v>Faille / faiblesse possible</x:v>
      </x:c>
      <x:c r="C3" s="63" t="str">
        <x:v>Constat et niveau de preuve</x:v>
      </x:c>
      <x:c r="D3" s="63" t="str">
        <x:v>Vérification à réaliser</x:v>
      </x:c>
      <x:c r="E3" s="63" t="str">
        <x:v>Lien avec les risques initiaux</x:v>
      </x:c>
      <x:c r="F3" s="63" t="str">
        <x:v>Sources</x:v>
      </x:c>
      <x:c r="G3" s="63" t="str">
        <x:v>Décision</x:v>
      </x:c>
      <x:c r="H3" s="63" t="str">
        <x:v>Notes de relecture</x:v>
      </x:c>
    </x:row>
    <x:row r="4" ht="110" customHeight="1">
      <x:c r="A4" s="61" t="n">
        <x:v>11</x:v>
      </x:c>
      <x:c r="B4" s="61" t="str">
        <x:v>Étanchéité et séparation liquide/électronique non démontrées pour la coque finale.</x:v>
      </x:c>
      <x:c r="C4" s="61" t="str">
        <x:v>Hypothèse à tester
Hypothèse : le montage final n'est pas validé. Aucune entrée de liquide constatée et aucun indice IP établi dans la revue.</x:v>
      </x:c>
      <x:c r="D4" s="61" t="str">
        <x:v>T11 : évaluer les voies d'entrée et le nettoyage sur maquette sûre, hors contact humain. Définir et vérifier les critères de protection avant essai électrique.</x:v>
      </x:c>
      <x:c r="E4" s="61" t="str">
        <x:v>R2 batterie ; R3 alimentation. Sous-scénario à fusionner ou détailler.</x:v>
      </x:c>
      <x:c r="F4" s="61" t="str">
        <x:v>C1, C4</x:v>
      </x:c>
      <x:c r="G4" s="67" t="str">
        <x:v>À relire</x:v>
      </x:c>
      <x:c r="H4" s="67"/>
    </x:row>
    <x:row r="5" ht="110" customHeight="1">
      <x:c r="A5" s="61" t="n">
        <x:v>12</x:v>
      </x:c>
      <x:c r="B5" s="61" t="str">
        <x:v>Résistance de la coque et maintien du pack final non qualifiés.</x:v>
      </x:c>
      <x:c r="C5" s="61" t="str">
        <x:v>Hypothèse à tester
Hypothèse fondée sur l'intégration et les fixations encore à finaliser. Aucune rupture observée lors de cette revue.</x:v>
      </x:c>
      <x:c r="D5" s="61" t="str">
        <x:v>T12 : définir des essais de chute avec batterie factice et maquette. Vérifier coque, retenue, câbles et arêtes ; qualification du pack par un protocole adapté.</x:v>
      </x:c>
      <x:c r="E5" s="61" t="str">
        <x:v>R2 batterie ; R7 surfaces. Scénario de choc à distinguer de l'usage normal.</x:v>
      </x:c>
      <x:c r="F5" s="61" t="str">
        <x:v>C1, C4</x:v>
      </x:c>
      <x:c r="G5" s="67" t="str">
        <x:v>À relire</x:v>
      </x:c>
      <x:c r="H5" s="67"/>
    </x:row>
    <x:row r="6" ht="110" customHeight="1">
      <x:c r="A6" s="61" t="n">
        <x:v>13</x:v>
      </x:c>
      <x:c r="B6" s="61" t="str">
        <x:v>Maintien des performances dans le temps non démontré ; seuil technique de confiance insuffisant à prouver la stabilité.</x:v>
      </x:c>
      <x:c r="C6" s="61" t="str">
        <x:v>Hypothèse à tester
Hypothèse : pas de mesure de dérive réalisée. Les contrôles de qualité actuels ne constituent pas une qualification de vieillissement.</x:v>
      </x:c>
      <x:c r="D6" s="61" t="str">
        <x:v>T13 : comparer à une référence avant/après usages et nettoyages répétés ; définir les limites puis vérifier la détection d'un biais injecté.</x:v>
      </x:c>
      <x:c r="E6" s="61" t="str">
        <x:v>R4 mesures fausses. Cause temporelle supplémentaire.</x:v>
      </x:c>
      <x:c r="F6" s="61" t="str">
        <x:v>C1, C2</x:v>
      </x:c>
      <x:c r="G6" s="67" t="str">
        <x:v>À relire</x:v>
      </x:c>
      <x:c r="H6" s="67"/>
    </x:row>
    <x:row r="7" ht="110" customHeight="1">
      <x:c r="A7" s="61" t="n">
        <x:v>14</x:v>
      </x:c>
      <x:c r="B7" s="61" t="str">
        <x:v>session_id existe dans le CSV mais les courbes filtrent seulement record_type, sans séparation par session ni profil.</x:v>
      </x:c>
      <x:c r="C7" s="61" t="str">
        <x:v>Constat logiciel vérifié
Lecture du code et essai logiciel : deux sessions distinctes sont conservées dans un même CSV. Le tracé sélectionne les deux. Aucun mélange de patients réels constaté.</x:v>
      </x:c>
      <x:c r="D7" s="61" t="str">
        <x:v>T14 : créer deux sessions aux valeurs distinctes, changer de profil et de fichier ; vérifier qu'aucune courbe n'associe leurs points.</x:v>
      </x:c>
      <x:c r="E7" s="61" t="str">
        <x:v>Nouvelle ligne d'utilisation possible. Complète R10 sans supposer une attaque.</x:v>
      </x:c>
      <x:c r="F7" s="61" t="str">
        <x:v>C3, C5</x:v>
      </x:c>
      <x:c r="G7" s="67" t="str">
        <x:v>À relire</x:v>
      </x:c>
      <x:c r="H7" s="67"/>
    </x:row>
    <x:row r="8" ht="110" customHeight="1">
      <x:c r="A8" s="61" t="n">
        <x:v>15</x:v>
      </x:c>
      <x:c r="B8" s="61" t="str">
        <x:v>Possibilité de régression ou d'incompatibilité future. L'absence de tests ne peut pas être affirmée : le dépôt en contient.</x:v>
      </x:c>
      <x:c r="C8" s="61" t="str">
        <x:v>Hypothèse à tester
Scénario prospectif. La passerelle rejette un CSV incompatible. Mise à jour malveillante : sous-scénario cyber si l'authenticité n'est pas vérifiée, mécanisme non audité ici.</x:v>
      </x:c>
      <x:c r="D8" s="61" t="str">
        <x:v>T15 : tester versions compatibles/incompatibles, conservation des réglages et récupération après interruption sur banc. Vérifier séparément l'authenticité si une distribution logicielle est prévue.</x:v>
      </x:c>
      <x:c r="E8" s="61" t="str">
        <x:v>R1, R4, R5. Le volet malveillant doit être étudié séparément si applicable.</x:v>
      </x:c>
      <x:c r="F8" s="61" t="str">
        <x:v>C1, C5, C10</x:v>
      </x:c>
      <x:c r="G8" s="67" t="str">
        <x:v>À relire</x:v>
      </x:c>
      <x:c r="H8" s="67"/>
    </x:row>
    <x:row r="9" ht="110" customHeight="1">
      <x:c r="A9" s="61" t="n">
        <x:v>16</x:v>
      </x:c>
      <x:c r="B9" s="61" t="str">
        <x:v>Immunité électromagnétique/ESD du système assemblé non démontrée.</x:v>
      </x:c>
      <x:c r="C9" s="61" t="str">
        <x:v>Hypothèse à tester
Famille de risques documentée par la FDA. Ce n'est pas la preuve d'un dysfonctionnement de cette souris.</x:v>
      </x:c>
      <x:c r="D9" s="61" t="str">
        <x:v>T16 : définir et réaliser les essais d'immunité/ESD appropriés au montage final ; observer acquisition, resets et signalement des défauts.</x:v>
      </x:c>
      <x:c r="E9" s="61" t="str">
        <x:v>R1 suivi interrompu ; R4 mesures fausses. Cause environnementale supplémentaire.</x:v>
      </x:c>
      <x:c r="F9" s="61" t="str">
        <x:v>C1, C9</x:v>
      </x:c>
      <x:c r="G9" s="67" t="str">
        <x:v>À relire</x:v>
      </x:c>
      <x:c r="H9" s="67"/>
    </x:row>
    <x:row r="10" ht="110" customHeight="1">
      <x:c r="A10" s="61" t="n">
        <x:v>17</x:v>
      </x:c>
      <x:c r="B10" s="61" t="str">
        <x:v>ppg_quality vérifie bpm &gt; 0, sans limite supérieure. Statut 3 et confiance suffisante peuvent valider une valeur impossible.</x:v>
      </x:c>
      <x:c r="C10" s="61" t="str">
        <x:v>Constat logiciel reproduit
Essai synthétique : paquet avec 65 535 bpm, SpO2 98, confiance 100, statut 3 → ppg_valid=True. Aucun capteur réel n'a produit ce résultat lors de la revue.</x:v>
      </x:c>
      <x:c r="D10" s="61" t="str">
        <x:v>T17 : tester limites du format, sentinelles et valeurs incohérentes ; vérifier rejet en décodage, stockage et affichage.</x:v>
      </x:c>
      <x:c r="E10" s="61" t="str">
        <x:v>R4 mesures fausses. Faiblesse précise à corriger et à documenter.</x:v>
      </x:c>
      <x:c r="F10" s="61" t="str">
        <x:v>C2, C5, C11</x:v>
      </x:c>
      <x:c r="G10" s="67" t="str">
        <x:v>À relire</x:v>
      </x:c>
      <x:c r="H10" s="67"/>
    </x:row>
    <x:row r="11" ht="110" customHeight="1">
      <x:c r="A11" s="61" t="n">
        <x:v>18</x:v>
      </x:c>
      <x:c r="B11" s="61" t="str">
        <x:v>read_text puis read_csv portent sur tout le fichier ; tail(2000) intervient seulement après la lecture complète.</x:v>
      </x:c>
      <x:c r="C11" s="61" t="str">
        <x:v>Code vérifié ; impact à mesurer
Code vérifié : rafraîchissement chaque seconde et lecture intégrale. La limite de volume conduisant au ralentissement n'a pas été mesurée.</x:v>
      </x:c>
      <x:c r="D11" s="61" t="str">
        <x:v>T18 : acquisition longue avec volumes représentatifs ; mesurer mémoire, CPU, délais d'affichage et comportement en manque d'espace disque.</x:v>
      </x:c>
      <x:c r="E11" s="61" t="str">
        <x:v>R1 suivi interrompu. Cause liée aux ressources informatiques.</x:v>
      </x:c>
      <x:c r="F11" s="61" t="str">
        <x:v>C3, C5</x:v>
      </x:c>
      <x:c r="G11" s="67" t="str">
        <x:v>À relire</x:v>
      </x:c>
      <x:c r="H11" s="67"/>
    </x:row>
    <x:row r="12" ht="110" customHeight="1">
      <x:c r="A12" s="61" t="n">
        <x:v>19</x:v>
      </x:c>
      <x:c r="B12" s="61" t="str">
        <x:v>Le résultat de publish() et les confirmations on_publish ne sont pas suivis par le code applicatif inspecté.</x:v>
      </x:c>
      <x:c r="C12" s="61" t="str">
        <x:v>Code vérifié ; scénario conditionnel
Code vérifié ; documentation Paho : le retour de publish() ne garantit pas à lui seul l'envoi. Aucune perte réelle reproduite et aucun serveur clinique distant supposé.</x:v>
      </x:c>
      <x:c r="D12" s="61" t="str">
        <x:v>T19 : couper/reprendre le serveur de test, vérifier les confirmations, l'état en attente, la reprise sans doublons et le contrôle de complétude.</x:v>
      </x:c>
      <x:c r="E12" s="61" t="str">
        <x:v>R1 suivi interrompu. Applicable seulement si MQTT est utilisé.</x:v>
      </x:c>
      <x:c r="F12" s="61" t="str">
        <x:v>C5, C7</x:v>
      </x:c>
      <x:c r="G12" s="67" t="str">
        <x:v>À relire</x:v>
      </x:c>
      <x:c r="H12" s="67"/>
    </x:row>
    <x:row r="13" ht="110" customHeight="1">
      <x:c r="A13" s="61" t="n">
        <x:v>20</x:v>
      </x:c>
      <x:c r="B13" s="61" t="str">
        <x:v>Confusion possible entre coupure de la sortie 5 V par EN et isolation physique du pack.</x:v>
      </x:c>
      <x:c r="C13" s="61" t="str">
        <x:v>Fonctionnement documenté
Architecture documentée : S1 agit sur EN ; la recharge reste possible à l'arrêt. Aucun accident de maintenance constaté.</x:v>
      </x:c>
      <x:c r="D13" s="61" t="str">
        <x:v>T20 : vérifier au banc les circuits encore alimentés selon S1/USB ; évaluer la compréhension des états et la procédure d'isolation.</x:v>
      </x:c>
      <x:c r="E13" s="61" t="str">
        <x:v>R2 batterie ; R3 alimentation. Scénario d'erreur de maintenance.</x:v>
      </x:c>
      <x:c r="F13" s="61" t="str">
        <x:v>C1, C4, C6</x:v>
      </x:c>
      <x:c r="G13" s="67" t="str">
        <x:v>À relire</x:v>
      </x:c>
      <x:c r="H13" s="67"/>
    </x:row>
    <x:row r="14" ht="110" customHeight="1">
      <x:c r="A14" s="61" t="n">
        <x:v>21</x:v>
      </x:c>
      <x:c r="B14" s="61" t="str">
        <x:v>Compatibilité entre appel de courant réel et capacité de démarrage du convertisseur non démontrée.</x:v>
      </x:c>
      <x:c r="C14" s="61" t="str">
        <x:v>Limite constructeur ; essai à faire
Adafruit indique une difficulté de démarrage avec une charge instantanée supérieure à environ 200 mA. Courant d'appel de l'ensemble non mesuré.</x:v>
      </x:c>
      <x:c r="D14" s="61" t="str">
        <x:v>T21 : mesurer courant d'appel, tensions et séquence de démarrage avec toutes les charges, batterie basse et transitions de source, sur banc limité en courant.</x:v>
      </x:c>
      <x:c r="E14" s="61" t="str">
        <x:v>R1 suivi interrompu. Complète le scénario batterie épuisée.</x:v>
      </x:c>
      <x:c r="F14" s="61" t="str">
        <x:v>C4, C6</x:v>
      </x:c>
      <x:c r="G14" s="67" t="str">
        <x:v>À relire</x:v>
      </x:c>
      <x:c r="H14" s="67"/>
    </x:row>
    <x:row r="15" ht="110" customHeight="1">
      <x:c r="A15" s="61" t="n">
        <x:v>22</x:v>
      </x:c>
      <x:c r="B15" s="61" t="str">
        <x:v>Performance du capteur dans sa position réelle et pour la diversité des utilisateurs non démontrée.</x:v>
      </x:c>
      <x:c r="C15" s="61" t="str">
        <x:v>Risque documenté ; montage non testé
La FDA documente ces facteurs pour l'oxymétrie. Leur effet sur ce montage reste à mesurer ; aucune différence de performance n'a été observée ici sur personnes.</x:v>
      </x:c>
      <x:c r="D15" s="61" t="str">
        <x:v>T22 : définir un protocole approprié avec référence, conditions de contact et diversité d'utilisateurs ; analyser erreurs et taux d'indisponibilité par condition.</x:v>
      </x:c>
      <x:c r="E15" s="61" t="str">
        <x:v>R4 mesures fausses ; R5 domaine de validité. À fusionner ou détailler.</x:v>
      </x:c>
      <x:c r="F15" s="61" t="str">
        <x:v>C1, C2, C8</x:v>
      </x:c>
      <x:c r="G15" s="67" t="str">
        <x:v>À relire</x:v>
      </x:c>
      <x:c r="H15" s="67"/>
    </x:row>
    <x:row r="17" ht="24" customHeight="1">
      <x:c r="A17" s="60" t="str">
        <x:v>R1–R10 désignent les risques initiaux, présents dans le même tableau. Sources C0–C11 propres aux ajouts ; S0–S8 dans « Suivi et sources ». Une ligne du complément peut être fusionnée avec eux. N° 15 : les régressions sont techniques ; une mise à jour non authentifiée serait un scénario cyber distinct, conditionnel et non démontré ici.</x:v>
      </x:c>
      <x:c r="B17" s="60"/>
      <x:c r="C17" s="60"/>
      <x:c r="D17" s="60"/>
      <x:c r="E17" s="60"/>
      <x:c r="F17" s="60"/>
      <x:c r="G17" s="60"/>
      <x:c r="H17" s="60"/>
    </x:row>
    <x:row r="18" ht="24" customHeight="1">
      <x:c r="A18" s="60"/>
      <x:c r="B18" s="60"/>
      <x:c r="C18" s="60"/>
      <x:c r="D18" s="60"/>
      <x:c r="E18" s="60"/>
      <x:c r="F18" s="60"/>
      <x:c r="G18" s="60"/>
      <x:c r="H18" s="60"/>
    </x:row>
    <x:row r="21" ht="28" customHeight="1">
      <x:c r="A21" s="68" t="str">
        <x:v>Sources et portée — consultation du 16 octobre 2026</x:v>
      </x:c>
      <x:c r="B21" s="68"/>
      <x:c r="C21" s="68"/>
      <x:c r="D21" s="68"/>
      <x:c r="E21" s="68"/>
      <x:c r="F21" s="68"/>
      <x:c r="G21" s="68"/>
      <x:c r="H21" s="68"/>
    </x:row>
    <x:row r="22" ht="30" customHeight="1">
      <x:c r="A22" s="70" t="str">
        <x:v>ID</x:v>
      </x:c>
      <x:c r="B22" s="70" t="str">
        <x:v>Document</x:v>
      </x:c>
      <x:c r="C22" s="70" t="str">
        <x:v>Lien / référence</x:v>
      </x:c>
      <x:c r="D22" s="70"/>
      <x:c r="E22" s="70"/>
      <x:c r="F22" s="70"/>
      <x:c r="G22" s="70" t="str">
        <x:v>Portée de la source</x:v>
      </x:c>
      <x:c r="H22" s="70"/>
    </x:row>
    <x:row r="23" ht="95" customHeight="1">
      <x:c r="A23" s="61" t="str">
        <x:v>C0</x:v>
      </x:c>
      <x:c r="B23" s="61" t="str">
        <x:v>Modèle du TP M3-2 et analyse initiale</x:v>
      </x:c>
      <x:c r="C23" s="61" t="str">
        <x:v>https://github.com/lebretyves/TP-M3-2-Analyse-risques-Cas-G/tree/8220a838231e446b8883059bc619fe35567bfcf6</x:v>
      </x:c>
      <x:c r="D23" s="61"/>
      <x:c r="E23" s="61"/>
      <x:c r="F23" s="61"/>
      <x:c r="G23" s="61" t="str">
        <x:v>Colonnes, échelles et seuils du cours. Les risques initiaux R1 à R10 ne sont pas recopiés. Les renvois Rn concernent sources/risques.json.</x:v>
      </x:c>
      <x:c r="H23" s="61"/>
    </x:row>
    <x:row r="24" ht="95" customHeight="1">
      <x:c r="A24" s="61" t="str">
        <x:v>C1</x:v>
      </x:c>
      <x:c r="B24" s="61" t="str">
        <x:v>Configuration du cas G, batterie unique 1 500 mAh</x:v>
      </x:c>
      <x:c r="C24" s="61" t="str">
        <x:v>https://github.com/lebretyves/TP4-IoT-Autonomie/blob/f76c7e4bd4bdb517066562b716aee0732e4f6341/cas_g_choisi/CONFIGURATION_1500.md</x:v>
      </x:c>
      <x:c r="D24" s="61"/>
      <x:c r="E24" s="61"/>
      <x:c r="F24" s="61"/>
      <x:c r="G24" s="61" t="str">
        <x:v>Périmètre et limites d'intégration ; pack et montage final non qualifiés. Lu le 16/10/2026.</x:v>
      </x:c>
      <x:c r="H24" s="61"/>
    </x:row>
    <x:row r="25" ht="95" customHeight="1">
      <x:c r="A25" s="61" t="str">
        <x:v>C2</x:v>
      </x:c>
      <x:c r="B25" s="61" t="str">
        <x:v>Filtre des mesures optiques, quality.py</x:v>
      </x:c>
      <x:c r="C25" s="61" t="str">
        <x:v>https://github.com/lebretyves/TP4-IoT-Autonomie/blob/f76c7e4bd4bdb517066562b716aee0732e4f6341/variantes/04_veille_R3/logiciel/quality.py#L19</x:v>
      </x:c>
      <x:c r="D25" s="61"/>
      <x:c r="E25" s="61"/>
      <x:c r="F25" s="61"/>
      <x:c r="G25" s="61" t="str">
        <x:v>Filtre de qualité technique, sans plafond de pouls. Ce filtre ne prouve pas une performance clinique. Lu le 16/10/2026.</x:v>
      </x:c>
      <x:c r="H25" s="61"/>
    </x:row>
    <x:row r="26" ht="95" customHeight="1">
      <x:c r="A26" s="61" t="str">
        <x:v>C3</x:v>
      </x:c>
      <x:c r="B26" s="61" t="str">
        <x:v>Tableau de bord, dashboard.py</x:v>
      </x:c>
      <x:c r="C26" s="61" t="str">
        <x:v>https://github.com/lebretyves/TP4-IoT-Autonomie/blob/f76c7e4bd4bdb517066562b716aee0732e4f6341/variantes/04_veille_R3/logiciel/dashboard.py#L12</x:v>
      </x:c>
      <x:c r="D26" s="61"/>
      <x:c r="E26" s="61"/>
      <x:c r="F26" s="61"/>
      <x:c r="G26" s="61" t="str">
        <x:v>Lecture complète du CSV chaque seconde ; courbes sans séparation par session aux lignes 37-42. Lu le 16/10/2026.</x:v>
      </x:c>
      <x:c r="H26" s="61"/>
    </x:row>
    <x:row r="27" ht="95" customHeight="1">
      <x:c r="A27" s="61" t="str">
        <x:v>C4</x:v>
      </x:c>
      <x:c r="B27" s="61" t="str">
        <x:v>Câblage de banc R3</x:v>
      </x:c>
      <x:c r="C27" s="61" t="str">
        <x:v>https://github.com/lebretyves/TP4-IoT-Autonomie/blob/f76c7e4bd4bdb517066562b716aee0732e4f6341/variantes/03_batterie_unique_USB_C/CABLAGE_BANC_R3.md</x:v>
      </x:c>
      <x:c r="D27" s="61"/>
      <x:c r="E27" s="61"/>
      <x:c r="F27" s="61"/>
      <x:c r="G27" s="61" t="str">
        <x:v>EN, pack, démarrage, limites thermiques et essais encore à réaliser. Lu le 16/10/2026.</x:v>
      </x:c>
      <x:c r="H27" s="61"/>
    </x:row>
    <x:row r="28" ht="95" customHeight="1">
      <x:c r="A28" s="61" t="str">
        <x:v>C5</x:v>
      </x:c>
      <x:c r="B28" s="61" t="str">
        <x:v>Passerelle et CSV, gateway.py</x:v>
      </x:c>
      <x:c r="C28" s="61" t="str">
        <x:v>https://github.com/lebretyves/TP4-IoT-Autonomie/blob/f76c7e4bd4bdb517066562b716aee0732e4f6341/variantes/04_veille_R3/logiciel/gateway.py#L86</x:v>
      </x:c>
      <x:c r="D28" s="61"/>
      <x:c r="E28" s="61"/>
      <x:c r="F28" s="61"/>
      <x:c r="G28" s="61" t="str">
        <x:v>Ajout au CSV existant, contrôle d'en-tête, publication MQTT optionnelle locale sans suivi applicatif de confirmation. Lu le 16/10/2026.</x:v>
      </x:c>
      <x:c r="H28" s="61"/>
    </x:row>
    <x:row r="29" ht="95" customHeight="1">
      <x:c r="A29" s="61" t="str">
        <x:v>C6</x:v>
      </x:c>
      <x:c r="B29" s="61" t="str">
        <x:v>Adafruit 6106 : brochage et limites de démarrage</x:v>
      </x:c>
      <x:c r="C29" s="61" t="str">
        <x:v>https://learn.adafruit.com/adafruit-bq25185-usb-dc-solar-charger-with-5v-boost-board/pinouts</x:v>
      </x:c>
      <x:c r="D29" s="61"/>
      <x:c r="E29" s="61"/>
      <x:c r="F29" s="61"/>
      <x:c r="G29" s="61" t="str">
        <x:v>EN commande la sortie 5 V. Limitation de démarrage vers 200 mA de charge instantanée ; ne pas confondre avec le courant disponible après démarrage. Consulté le 16/10/2026.</x:v>
      </x:c>
      <x:c r="H29" s="61"/>
    </x:row>
    <x:row r="30" ht="95" customHeight="1">
      <x:c r="A30" s="61" t="str">
        <x:v>C7</x:v>
      </x:c>
      <x:c r="B30" s="61" t="str">
        <x:v>Paho MQTT : publish et confirmations</x:v>
      </x:c>
      <x:c r="C30" s="61" t="str">
        <x:v>https://eclipse.dev/paho/files/paho.mqtt.python/html/client.html</x:v>
      </x:c>
      <x:c r="D30" s="61"/>
      <x:c r="E30" s="61"/>
      <x:c r="F30" s="61"/>
      <x:c r="G30" s="61" t="str">
        <x:v>Sections publish, on_publish et wait_for_publish. Distinguer publication confirmée au broker et traitement applicatif par le destinataire. Consulté le 16/10/2026.</x:v>
      </x:c>
      <x:c r="H30" s="61"/>
    </x:row>
    <x:row r="31" ht="95" customHeight="1">
      <x:c r="A31" s="61" t="str">
        <x:v>C8</x:v>
      </x:c>
      <x:c r="B31" s="61" t="str">
        <x:v>FDA : limites des oxymètres</x:v>
      </x:c>
      <x:c r="C31" s="61" t="str">
        <x:v>https://www.fda.gov/medical-devices/products-and-medical-procedures/pulse-oximeters</x:v>
      </x:c>
      <x:c r="D31" s="61"/>
      <x:c r="E31" s="61"/>
      <x:c r="F31" s="61"/>
      <x:c r="G31" s="61" t="str">
        <x:v>Pigmentation, circulation et température cutanée peuvent affecter les mesures. Référence générale, pas une validation de la souris. Consulté le 16/10/2026.</x:v>
      </x:c>
      <x:c r="H31" s="61"/>
    </x:row>
    <x:row r="32" ht="95" customHeight="1">
      <x:c r="A32" s="61" t="str">
        <x:v>C9</x:v>
      </x:c>
      <x:c r="B32" s="61" t="str">
        <x:v>FDA : compatibilité électromagnétique</x:v>
      </x:c>
      <x:c r="C32" s="61" t="str">
        <x:v>https://www.fda.gov/radiation-emitting-products/radiation-safety/electromagnetic-compatibility-emc</x:v>
      </x:c>
      <x:c r="D32" s="61"/>
      <x:c r="E32" s="61"/>
      <x:c r="F32" s="61"/>
      <x:c r="G32" s="61" t="str">
        <x:v>Perturbations et compatibilité électromagnétique des dispositifs. Référence générale, pas une preuve de conformité du montage. Consulté le 16/10/2026.</x:v>
      </x:c>
      <x:c r="H32" s="61"/>
    </x:row>
    <x:row r="33" ht="95" customHeight="1">
      <x:c r="A33" s="61" t="str">
        <x:v>C10</x:v>
      </x:c>
      <x:c r="B33" s="61" t="str">
        <x:v>FDA : cybersécurité et mises à jour</x:v>
      </x:c>
      <x:c r="C33" s="61" t="str">
        <x:v>https://www.fda.gov/consumers/consumer-updates/medical-device-cybersecurity-what-you-need-know</x:v>
      </x:c>
      <x:c r="D33" s="61"/>
      <x:c r="E33" s="61"/>
      <x:c r="F33" s="61"/>
      <x:c r="G33" s="61" t="str">
        <x:v>Les mises à jour peuvent traiter des vulnérabilités. Aucun défaut de signature du mécanisme de mise à jour de la souris n'est affirmé ici. Consulté le 16/10/2026.</x:v>
      </x:c>
      <x:c r="H33" s="61"/>
    </x:row>
    <x:row r="34" ht="95" customHeight="1">
      <x:c r="A34" s="61" t="str">
        <x:v>C11</x:v>
      </x:c>
      <x:c r="B34" s="61" t="str">
        <x:v>Essais logiciels synthétiques de la revue</x:v>
      </x:c>
      <x:c r="C34" s="61" t="str">
        <x:v>Revue locale du 16/10/2026, commit f76c7e4bd4bdb517066562b716aee0732e4f6341</x:v>
      </x:c>
      <x:c r="D34" s="61"/>
      <x:c r="E34" s="61"/>
      <x:c r="F34" s="61"/>
      <x:c r="G34" s="61" t="str">
        <x:v>decode_meta(struct.pack('&lt;IHHBBh',1000,65535,98,100,3,3200)) accepte le pouls. Deux acquisitions avec identifiants distincts sont ajoutées au même CSV et sélectionnées ensemble par le filtre des courbes. Aucune donnée réelle ni essai matériel.</x:v>
      </x:c>
      <x:c r="H34" s="61"/>
    </x:row>
  </x:sheetData>
  <x:mergeCells>
    <x:mergeCell ref="A1:H1"/>
    <x:mergeCell ref="A2:H2"/>
    <x:mergeCell ref="A17:H18"/>
    <x:mergeCell ref="A21:H21"/>
    <x:mergeCell ref="C22:F22"/>
    <x:mergeCell ref="G22:H22"/>
    <x:mergeCell ref="C23:F23"/>
    <x:mergeCell ref="G23:H23"/>
    <x:mergeCell ref="C24:F24"/>
    <x:mergeCell ref="G24:H24"/>
    <x:mergeCell ref="C25:F25"/>
    <x:mergeCell ref="G25:H25"/>
    <x:mergeCell ref="C26:F26"/>
    <x:mergeCell ref="G26:H26"/>
    <x:mergeCell ref="C27:F27"/>
    <x:mergeCell ref="G27:H27"/>
    <x:mergeCell ref="C28:F28"/>
    <x:mergeCell ref="G28:H28"/>
    <x:mergeCell ref="C29:F29"/>
    <x:mergeCell ref="G29:H29"/>
    <x:mergeCell ref="C30:F30"/>
    <x:mergeCell ref="G30:H30"/>
    <x:mergeCell ref="C31:F31"/>
    <x:mergeCell ref="G31:H31"/>
    <x:mergeCell ref="C32:F32"/>
    <x:mergeCell ref="G32:H32"/>
    <x:mergeCell ref="C33:F33"/>
    <x:mergeCell ref="G33:H33"/>
    <x:mergeCell ref="C34:F34"/>
    <x:mergeCell ref="G34:H34"/>
  </x:mergeCells>
  <x:dataValidations count="1">
    <x:dataValidation type="list" sqref="G4:G15">
      <x:formula1>"À relire,À ajouter,À fusionner,À écarter,À approfondir"</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pane xSplit="2" ySplit="10" topLeftCell="C11" activePane="bottomRight" state="frozen"/>
    </x:sheetView>
  </x:sheetViews>
  <x:sheetFormatPr defaultRowHeight="15"/>
  <x:cols>
    <x:col min="1" max="1" width="7" hidden="0" customWidth="1"/>
    <x:col min="2" max="2" width="40" hidden="0" customWidth="1"/>
    <x:col min="3" max="3" width="39" hidden="0" customWidth="1"/>
    <x:col min="4" max="4" width="34" hidden="0" customWidth="1"/>
    <x:col min="5" max="5" width="57" hidden="0" customWidth="1"/>
    <x:col min="6" max="6" width="62" hidden="0" customWidth="1"/>
    <x:col min="7" max="7" width="21" hidden="0" customWidth="1"/>
  </x:cols>
  <x:sheetData>
    <x:row r="1" ht="30" customHeight="1">
      <x:c r="A1" s="58" t="str">
        <x:v>Destination médicale, classification et traçabilité des risques</x:v>
      </x:c>
      <x:c r="B1" s="58"/>
      <x:c r="C1" s="58"/>
      <x:c r="D1" s="58"/>
      <x:c r="E1" s="58"/>
      <x:c r="F1" s="58"/>
      <x:c r="G1" s="58"/>
    </x:row>
    <x:row r="3" ht="43" customHeight="1">
      <x:c r="A3" s="61" t="str">
        <x:v>Statut actuel : Le dossier décrit un prototype pédagogique d’acquisition et d’affichage de mesures expérimentales. Aucune mise sur le marché comme dispositif médical ni certification médicale n’est démontrée. L’absence de certification ne signifie pas qu’un produit ayant une destination médicale échappe au règlement.</x:v>
      </x:c>
      <x:c r="B3" s="61"/>
      <x:c r="C3" s="61"/>
      <x:c r="D3" s="61"/>
      <x:c r="E3" s="61"/>
      <x:c r="F3" s="61"/>
      <x:c r="G3" s="61"/>
    </x:row>
    <x:row r="4" ht="43" customHeight="1">
      <x:c r="A4" s="61" t="str">
        <x:v>Destination médicale envisagée : Suivre les indicateurs physiologiques et leurs tendances pendant l’utilisation de l’ordinateur, et estimer un risque personnalisé de complications cardiovasculaires en lien avec le stress et la sédentarité, afin d’informer la prévention et de permettre un partage choisi avec un professionnel de santé. Deux fonctions prévues, non validées dans R3. [REG1, REG2]</x:v>
      </x:c>
      <x:c r="B4" s="61"/>
      <x:c r="C4" s="61"/>
      <x:c r="D4" s="61"/>
      <x:c r="E4" s="61"/>
      <x:c r="F4" s="61"/>
      <x:c r="G4" s="61"/>
    </x:row>
    <x:row r="5" ht="43" customHeight="1">
      <x:c r="A5" s="61" t="str">
        <x:v>Classe probable IIa : hypothèse du TP : Hypothèse : suivi physiologique de routine et score informant la prévention, sans piloter seul le diagnostic ou le traitement. Règle 11 : IIa envisagée. Réexaminer IIb/III selon les conséquences réelles des décisions erronées. La vente B2C, le caractère non urgent et une notice de limites ne suffisent pas à garantir IIa. [REG1, REG2]</x:v>
      </x:c>
      <x:c r="B5" s="61"/>
      <x:c r="C5" s="61"/>
      <x:c r="D5" s="61"/>
      <x:c r="E5" s="61"/>
      <x:c r="F5" s="61"/>
      <x:c r="G5" s="61"/>
    </x:row>
    <x:row r="6" ht="43" customHeight="1">
      <x:c r="A6" s="61" t="str">
        <x:v>Périmètre matériel à préciser : Déterminer si la souris est une partie du dispositif, un accessoire dédié ou un produit distinct. Ne pas attribuer automatiquement la classe du logiciel au matériel. Examiner les règles applicables à chaque destination, notamment la règle 10 si une fonction médicale de diagnostic ou de surveillance est revendiquée. Valider la combinaison capteurs, transmission et logiciel. [REG1, REG3]</x:v>
      </x:c>
      <x:c r="B6" s="61"/>
      <x:c r="C6" s="61"/>
      <x:c r="D6" s="61"/>
      <x:c r="E6" s="61"/>
      <x:c r="F6" s="61"/>
      <x:c r="G6" s="61"/>
    </x:row>
    <x:row r="7" ht="43" customHeight="1">
      <x:c r="A7" s="61" t="str">
        <x:v>Conséquences pour le projet : Sous l’hypothèse IIa : organisme notifié selon l’article 52, système qualité, évaluation clinique et documentation technique. Les scénarios G3 de fausse assurance restent ouverts. Vérifier les décisions réellement prises et leur gravité avant de confirmer la classe ; G × P ne détermine pas la classe MDR. [REG1]</x:v>
      </x:c>
      <x:c r="B7" s="61"/>
      <x:c r="C7" s="61"/>
      <x:c r="D7" s="61"/>
      <x:c r="E7" s="61"/>
      <x:c r="F7" s="61"/>
      <x:c r="G7" s="61"/>
    </x:row>
    <x:row r="8" ht="43" customHeight="1">
      <x:c r="A8" s="72" t="str">
        <x:v>MDR = règlement (UE) 2017/745. Le rapprochement ci-dessous vise la future destination médicale ; il ne constitue ni une liste exhaustive des obligations ni une preuve de conformité. Pour tous les risques : annexe I, § 3-4 (gestion et réduction des risques) ; annexe II, § 4-6 (traçabilité exigences, preuves et validation).</x:v>
      </x:c>
      <x:c r="B8" s="72"/>
      <x:c r="C8" s="72"/>
      <x:c r="D8" s="72"/>
      <x:c r="E8" s="72"/>
      <x:c r="F8" s="72"/>
      <x:c r="G8" s="72"/>
    </x:row>
    <x:row r="10" ht="35" customHeight="1">
      <x:c r="A10" s="73" t="str">
        <x:v>Risque</x:v>
      </x:c>
      <x:c r="B10" s="73" t="str">
        <x:v>Danger du TP</x:v>
      </x:c>
      <x:c r="C10" s="73" t="str">
        <x:v>Références à examiner</x:v>
      </x:c>
      <x:c r="D10" s="73" t="str">
        <x:v>Exigence concernée</x:v>
      </x:c>
      <x:c r="E10" s="73" t="str">
        <x:v>Application au projet</x:v>
      </x:c>
      <x:c r="F10" s="73" t="str">
        <x:v>Preuve / vérification à produire</x:v>
      </x:c>
      <x:c r="G10" s="73" t="str">
        <x:v>État</x:v>
      </x:c>
    </x:row>
    <x:row r="11" ht="115" customHeight="1">
      <x:c r="A11" s="61" t="n">
        <x:v>1</x:v>
      </x:c>
      <x:c r="B11" s="61" t="str">
        <x:v>Perte d'alimentation ou de liaison : suivi interrompu</x:v>
      </x:c>
      <x:c r="C11" s="61" t="str">
        <x:v>MDR, annexe I : § 14.2(d), 17.1-17.2, 18.1</x:v>
      </x:c>
      <x:c r="D11" s="61" t="str">
        <x:v>Fiabilité, défauts et interactions informatiques.</x:v>
      </x:c>
      <x:c r="E11" s="61" t="str">
        <x:v>Prouver le démarrage et la reprise de l’acquisition ; rendre visibles les lacunes ; tester charge CSV et confirmation MQTT lorsque l’option est utilisée. § 18.2 à examiner si la sécurité du patient dépend de la batterie.</x:v>
      </x:c>
      <x:c r="F11" s="61" t="str">
        <x:v>T1 — Décharger au banc et couper/reprendre le BLE. Vérifier que la coupure est visible, qu'aucune ancienne valeur n'est déclarée actuelle et qu'une session incomplète n'alimente pas une recommandation ; mesurer l'autonomie sur plusieurs cycles.</x:v>
      </x:c>
      <x:c r="G11" s="61" t="str">
        <x:v>À vérifier ; conformité non démontrée</x:v>
      </x:c>
    </x:row>
    <x:row r="12" ht="115" customHeight="1">
      <x:c r="A12" s="61" t="n">
        <x:v>2</x:v>
      </x:c>
      <x:c r="B12" s="61" t="str">
        <x:v>Énergie de la cellule Li-ion : échauffement ou incendie</x:v>
      </x:c>
      <x:c r="C12" s="61" t="str">
        <x:v>MDR, annexe I : § 14.1-14.2, 18.1, 20</x:v>
      </x:c>
      <x:c r="D12" s="61" t="str">
        <x:v>Maîtriser les dangers physiques et thermiques.</x:v>
      </x:c>
      <x:c r="E12" s="61" t="str">
        <x:v>Qualifier la batterie et les protections ; tester branchements, liquide, chute, températures accessibles et isolation pour la maintenance. Les essais doivent porter sur l’ensemble final.</x:v>
      </x:c>
      <x:c r="F12" s="61" t="str">
        <x:v>T2 — Qualifier pack, chargeur et fusible avec leurs fiches ; mesurer charge, courant d'appel et températures dans l'enveloppe finale. Contrôler les protections sur moyens adaptés, sans provoquer de défaut dangereux sur la main d'un utilisateur.</x:v>
      </x:c>
      <x:c r="G12" s="61" t="str">
        <x:v>À vérifier ; conformité non démontrée</x:v>
      </x:c>
    </x:row>
    <x:row r="13" ht="115" customHeight="1">
      <x:c r="A13" s="61" t="n">
        <x:v>3</x:v>
      </x:c>
      <x:c r="B13" s="61" t="str">
        <x:v>Alimentations USB mises en parallèle ou tension incorrecte</x:v>
      </x:c>
      <x:c r="C13" s="61" t="str">
        <x:v>MDR, annexe I : § 14.1-14.2, 18.1, 20</x:v>
      </x:c>
      <x:c r="D13" s="61" t="str">
        <x:v>Maîtriser les dangers physiques et thermiques.</x:v>
      </x:c>
      <x:c r="E13" s="61" t="str">
        <x:v>Qualifier la batterie et les protections ; tester branchements, liquide, chute, températures accessibles et isolation pour la maintenance. Les essais doivent porter sur l’ensemble final.</x:v>
      </x:c>
      <x:c r="F13" s="61" t="str">
        <x:v>T3 — Sur alimentation limitée, vérifier polarités, rails 5 V/3,3 V/1,5 V, séquence de mise sous tension, isolement du port de service et absence de retour de courant ; contrôler l'inaccessibilité des contacts en charge.</x:v>
      </x:c>
      <x:c r="G13" s="61" t="str">
        <x:v>À vérifier ; conformité non démontrée</x:v>
      </x:c>
    </x:row>
    <x:row r="14" ht="115" customHeight="1">
      <x:c r="A14" s="61" t="n">
        <x:v>4</x:v>
      </x:c>
      <x:c r="B14" s="61" t="str">
        <x:v>Mesures fausses prises pour des mesures valides</x:v>
      </x:c>
      <x:c r="C14" s="61" t="str">
        <x:v>MDR, annexe I : § 15.1, 17.1-17.2</x:v>
      </x:c>
      <x:c r="D14" s="61" t="str">
        <x:v>Exactitude, stabilité et validation des mesures.</x:v>
      </x:c>
      <x:c r="E14" s="61" t="str">
        <x:v>Comparer à une référence adaptée ; tester vieillissement, valeurs aberrantes, qualité de contact et diversité des utilisateurs. Définir les conditions dans lesquelles une mesure est exploitable.</x:v>
      </x:c>
      <x:c r="F14" s="61" t="str">
        <x:v>T4 — Essais de mouvement, perte de contact, capteur absent et données figées ; comparer les mesures acceptées à une référence adaptée. Vérifier qu'aucune valeur invalide n'alimente un résultat médical.</x:v>
      </x:c>
      <x:c r="G14" s="61" t="str">
        <x:v>À vérifier ; conformité non démontrée</x:v>
      </x:c>
    </x:row>
    <x:row r="15" ht="115" customHeight="1">
      <x:c r="A15" s="61" t="n">
        <x:v>5</x:v>
      </x:c>
      <x:c r="B15" s="61" t="str">
        <x:v>Score cardiovasculaire personnalisé erroné</x:v>
      </x:c>
      <x:c r="C15" s="61" t="str">
        <x:v>MDR : art. 61 ; annexe I § 17 ; annexe VIII règle 11</x:v>
      </x:c>
      <x:c r="D15" s="61" t="str">
        <x:v>Justifier performances cliniques et classification.</x:v>
      </x:c>
      <x:c r="E15" s="61" t="str">
        <x:v>Valider les deux fonctions : tendances et score personnalisé. Définir population, événements, horizon et données nécessaires. Évaluer calibration, discrimination et utilité ajoutée, puis conséquences des décisions. IIa reste une hypothèse de prévention informative ; réexaminer IIb/III si nécessaire.</x:v>
      </x:c>
      <x:c r="F15" s="61" t="str">
        <x:v>T5 — Définir avec un clinicien population, événement, horizon et données complémentaires. Valider calibration, discrimination, faux résultats et utilité ajoutée. Tester la compréhension du score et les décisions prises ; réexaminer la classe si les conséquences justifient IIb/III.</x:v>
      </x:c>
      <x:c r="G15" s="61" t="str">
        <x:v>À vérifier ; conformité non démontrée</x:v>
      </x:c>
    </x:row>
    <x:row r="16" ht="115" customHeight="1">
      <x:c r="A16" s="61" t="n">
        <x:v>6</x:v>
      </x:c>
      <x:c r="B16" s="61" t="str">
        <x:v>Posture contrainte par une coque mal adaptée</x:v>
      </x:c>
      <x:c r="C16" s="61" t="str">
        <x:v>MDR, annexe I : § 5, 14.2(a), 23</x:v>
      </x:c>
      <x:c r="D16" s="61" t="str">
        <x:v>Réduire les erreurs d’usage et informer.</x:v>
      </x:c>
      <x:c r="E16" s="61" t="str">
        <x:v>Tester confort, appuis, compréhension des résultats et absence de fausse assurance. La notice complète la conception et les protections ; elle ne les remplace pas.</x:v>
      </x:c>
      <x:c r="F16" s="61" t="str">
        <x:v>T6 — Après sécurité électrique, essais progressifs avec plusieurs utilisateurs de la cible, comparaison à leur souris habituelle ; relever douleur, appuis, accès aux boutons et maintien du contact sans crispation.</x:v>
      </x:c>
      <x:c r="G16" s="61" t="str">
        <x:v>À vérifier ; conformité non démontrée</x:v>
      </x:c>
    </x:row>
    <x:row r="17" ht="115" customHeight="1">
      <x:c r="A17" s="61" t="n">
        <x:v>7</x:v>
      </x:c>
      <x:c r="B17" s="61" t="str">
        <x:v>Contact cutané irritant ou souillé</x:v>
      </x:c>
      <x:c r="C17" s="61" t="str">
        <x:v>MDR, annexe I : § 10.1, 11.1, 23</x:v>
      </x:c>
      <x:c r="D17" s="61" t="str">
        <x:v>Compatibilité des matériaux et maîtrise de la contamination.</x:v>
      </x:c>
      <x:c r="E17" s="61" t="str">
        <x:v>Documenter les matériaux en contact avec la main, leur finition, la durée d’exposition et le nettoyage ; vérifier la tolérance et l’absence de dégradation.</x:v>
      </x:c>
      <x:c r="F17" s="61" t="str">
        <x:v>T7 — Identifier les matériaux, contrôler absence d'arêtes, tenue et état de surface après nettoyages répétés ; évaluer la compatibilité avec la peau selon durée et nature du contact.</x:v>
      </x:c>
      <x:c r="G17" s="61" t="str">
        <x:v>À vérifier ; conformité non démontrée</x:v>
      </x:c>
    </x:row>
    <x:row r="18" ht="115" customHeight="1">
      <x:c r="A18" s="61" t="n">
        <x:v>8</x:v>
      </x:c>
      <x:c r="B18" s="61" t="str">
        <x:v>Confiance excessive dans un indicateur rassurant</x:v>
      </x:c>
      <x:c r="C18" s="61" t="str">
        <x:v>MDR, annexe I : § 5, 14.2(a), 23</x:v>
      </x:c>
      <x:c r="D18" s="61" t="str">
        <x:v>Réduire les erreurs d’usage et informer.</x:v>
      </x:c>
      <x:c r="E18" s="61" t="str">
        <x:v>Tester confort, appuis, compréhension des résultats et absence de fausse assurance. La notice complète la conception et les protections ; elle ne les remplace pas.</x:v>
      </x:c>
      <x:c r="F18" s="61" t="str">
        <x:v>T8 — Présenter à des utilisateurs des données normales, absentes et invalides ; vérifier qu'ils n'en déduisent pas l'absence de trouble et qu'ils comprennent le rôle du professionnel.</x:v>
      </x:c>
      <x:c r="G18" s="61" t="str">
        <x:v>À vérifier ; conformité non démontrée</x:v>
      </x:c>
    </x:row>
    <x:row r="19" ht="115" customHeight="1">
      <x:c r="A19" s="61" t="n">
        <x:v>9</x:v>
      </x:c>
      <x:c r="B19" s="61" t="str">
        <x:v>Divulgation des données de santé</x:v>
      </x:c>
      <x:c r="C19" s="61" t="str">
        <x:v>MDR, annexe I : § 17.2, 17.4, 18.8 ; RGPD art. 5, 25, 32</x:v>
      </x:c>
      <x:c r="D19" s="61" t="str">
        <x:v>Sécurité informatique et protection des données.</x:v>
      </x:c>
      <x:c r="E19" s="61" t="str">
        <x:v>Vérifier authentification, droits du PC, intégrité des échanges, séparation des personnes et sessions. L’AIPD séparée traite aussi finalité, conservation, droits et nécessité ; son obligation relève de l’article 35.</x:v>
      </x:c>
      <x:c r="F19" s="61" t="str">
        <x:v>T9 — Vérifier droits des fichiers et suppression ; tenter une lecture depuis un client non autorisé. Pour un réseau distant, contrôler certificats, refus d'accès anonyme et absence de transmission en clair.</x:v>
      </x:c>
      <x:c r="G19" s="61" t="str">
        <x:v>À vérifier ; conformité non démontrée</x:v>
      </x:c>
    </x:row>
    <x:row r="20" ht="115" customHeight="1">
      <x:c r="A20" s="61" t="n">
        <x:v>10</x:v>
      </x:c>
      <x:c r="B20" s="61" t="str">
        <x:v>Usurpation de la souris ou substitution de mesures</x:v>
      </x:c>
      <x:c r="C20" s="61" t="str">
        <x:v>MDR, annexe I : § 17.2, 17.4, 18.8 ; RGPD art. 5, 25, 32</x:v>
      </x:c>
      <x:c r="D20" s="61" t="str">
        <x:v>Sécurité informatique et protection des données.</x:v>
      </x:c>
      <x:c r="E20" s="61" t="str">
        <x:v>Vérifier authentification, droits du PC, intégrité des échanges, séparation des personnes et sessions. L’AIPD séparée traite aussi finalité, conservation, droits et nécessité ; son obligation relève de l’article 35.</x:v>
      </x:c>
      <x:c r="F20" s="61" t="str">
        <x:v>T10 — Présenter un second appareil au même nom, une session étrangère et des messages rejoués ; vérifier leur rejet et le maintien de l'association au bon utilisateur.</x:v>
      </x:c>
      <x:c r="G20" s="61" t="str">
        <x:v>À vérifier ; conformité non démontrée</x:v>
      </x:c>
    </x:row>
    <x:row r="21" ht="115" customHeight="1">
      <x:c r="A21" s="61" t="n">
        <x:v>11</x:v>
      </x:c>
      <x:c r="B21" s="61" t="str">
        <x:v>Liquide dans la coque : défaut électrique</x:v>
      </x:c>
      <x:c r="C21" s="61" t="str">
        <x:v>MDR, annexe I : § 14.1-14.2, 18.1, 20</x:v>
      </x:c>
      <x:c r="D21" s="61" t="str">
        <x:v>Maîtriser les dangers physiques et thermiques.</x:v>
      </x:c>
      <x:c r="E21" s="61" t="str">
        <x:v>Qualifier la batterie et les protections ; tester branchements, liquide, chute, températures accessibles et isolation pour la maintenance. Les essais doivent porter sur l’ensemble final.</x:v>
      </x:c>
      <x:c r="F21" s="61" t="str">
        <x:v>T11 : évaluer les voies d'entrée et le nettoyage sur maquette sûre, hors contact humain. Définir et vérifier les critères de protection avant essai électrique.</x:v>
      </x:c>
      <x:c r="G21" s="61" t="str">
        <x:v>À vérifier ; conformité non démontrée</x:v>
      </x:c>
    </x:row>
    <x:row r="22" ht="115" customHeight="1">
      <x:c r="A22" s="61" t="n">
        <x:v>12</x:v>
      </x:c>
      <x:c r="B22" s="61" t="str">
        <x:v>Rupture mécanique après chute ou choc</x:v>
      </x:c>
      <x:c r="C22" s="61" t="str">
        <x:v>MDR, annexe I : § 14.1-14.2, 18.1, 20</x:v>
      </x:c>
      <x:c r="D22" s="61" t="str">
        <x:v>Maîtriser les dangers physiques et thermiques.</x:v>
      </x:c>
      <x:c r="E22" s="61" t="str">
        <x:v>Qualifier la batterie et les protections ; tester branchements, liquide, chute, températures accessibles et isolation pour la maintenance. Les essais doivent porter sur l’ensemble final.</x:v>
      </x:c>
      <x:c r="F22" s="61" t="str">
        <x:v>T12 : définir des essais de chute avec batterie factice et maquette. Vérifier coque, retenue, câbles et arêtes ; qualification du pack par un protocole adapté.</x:v>
      </x:c>
      <x:c r="G22" s="61" t="str">
        <x:v>À vérifier ; conformité non démontrée</x:v>
      </x:c>
    </x:row>
    <x:row r="23" ht="115" customHeight="1">
      <x:c r="A23" s="61" t="n">
        <x:v>13</x:v>
      </x:c>
      <x:c r="B23" s="61" t="str">
        <x:v>Dérive progressive des mesures</x:v>
      </x:c>
      <x:c r="C23" s="61" t="str">
        <x:v>MDR, annexe I : § 15.1, 17.1-17.2</x:v>
      </x:c>
      <x:c r="D23" s="61" t="str">
        <x:v>Exactitude, stabilité et validation des mesures.</x:v>
      </x:c>
      <x:c r="E23" s="61" t="str">
        <x:v>Comparer à une référence adaptée ; tester vieillissement, valeurs aberrantes, qualité de contact et diversité des utilisateurs. Définir les conditions dans lesquelles une mesure est exploitable.</x:v>
      </x:c>
      <x:c r="F23" s="61" t="str">
        <x:v>T13 : comparer à une référence avant/après usages et nettoyages répétés ; définir les limites puis vérifier la détection d'un biais injecté.</x:v>
      </x:c>
      <x:c r="G23" s="61" t="str">
        <x:v>À vérifier ; conformité non démontrée</x:v>
      </x:c>
    </x:row>
    <x:row r="24" ht="115" customHeight="1">
      <x:c r="A24" s="61" t="n">
        <x:v>14</x:v>
      </x:c>
      <x:c r="B24" s="61" t="str">
        <x:v>Mesures de plusieurs sessions ou personnes confondues</x:v>
      </x:c>
      <x:c r="C24" s="61" t="str">
        <x:v>MDR, annexe I : § 17.2, 17.4, 18.8 ; RGPD art. 5, 25, 32</x:v>
      </x:c>
      <x:c r="D24" s="61" t="str">
        <x:v>Sécurité informatique et protection des données.</x:v>
      </x:c>
      <x:c r="E24" s="61" t="str">
        <x:v>Vérifier authentification, droits du PC, intégrité des échanges, séparation des personnes et sessions. L’AIPD séparée traite aussi finalité, conservation, droits et nécessité ; son obligation relève de l’article 35.</x:v>
      </x:c>
      <x:c r="F24" s="61" t="str">
        <x:v>T14 : créer deux sessions aux valeurs distinctes, changer de profil et de fichier ; vérifier qu'aucune courbe n'associe leurs points.</x:v>
      </x:c>
      <x:c r="G24" s="61" t="str">
        <x:v>À vérifier ; conformité non démontrée</x:v>
      </x:c>
    </x:row>
    <x:row r="25" ht="115" customHeight="1">
      <x:c r="A25" s="61" t="n">
        <x:v>15</x:v>
      </x:c>
      <x:c r="B25" s="61" t="str">
        <x:v>Mise à jour introduisant une erreur de fonctionnement</x:v>
      </x:c>
      <x:c r="C25" s="61" t="str">
        <x:v>MDR, annexe I : § 17.1-17.2, 17.4</x:v>
      </x:c>
      <x:c r="D25" s="61" t="str">
        <x:v>Validation du logiciel et des changements.</x:v>
      </x:c>
      <x:c r="E25" s="61" t="str">
        <x:v>Tracer les versions, vérifier les régressions, la compatibilité des formats et le retour à une version sûre. Examiner l’authenticité des mises à jour sans présenter une vulnérabilité non démontrée comme acquise.</x:v>
      </x:c>
      <x:c r="F25" s="61" t="str">
        <x:v>T15 : tester versions compatibles/incompatibles, conservation des réglages et récupération après interruption sur banc. Vérifier séparément l'authenticité si une distribution logicielle est prévue.</x:v>
      </x:c>
      <x:c r="G25" s="61" t="str">
        <x:v>À vérifier ; conformité non démontrée</x:v>
      </x:c>
    </x:row>
    <x:row r="26" ht="115" customHeight="1">
      <x:c r="A26" s="61" t="n">
        <x:v>16</x:v>
      </x:c>
      <x:c r="B26" s="61" t="str">
        <x:v>Perturbation électromagnétique ou décharge électrostatique</x:v>
      </x:c>
      <x:c r="C26" s="61" t="str">
        <x:v>MDR, annexe I : § 14.2(b), 18.5-18.6</x:v>
      </x:c>
      <x:c r="D26" s="61" t="str">
        <x:v>Émissions et immunité électromagnétiques.</x:v>
      </x:c>
      <x:c r="E26" s="61" t="str">
        <x:v>Tester les perturbations et décharges électrostatiques dans l’environnement prévu ; vérifier qu’une mesure corrompue est rejetée et qu’une interruption est signalée.</x:v>
      </x:c>
      <x:c r="F26" s="61" t="str">
        <x:v>T16 : définir et réaliser les essais d'immunité/ESD appropriés au montage final ; observer acquisition, resets et signalement des défauts.</x:v>
      </x:c>
      <x:c r="G26" s="61" t="str">
        <x:v>À vérifier ; conformité non démontrée</x:v>
      </x:c>
    </x:row>
    <x:row r="27" ht="115" customHeight="1">
      <x:c r="A27" s="61" t="n">
        <x:v>17</x:v>
      </x:c>
      <x:c r="B27" s="61" t="str">
        <x:v>Pouls numériquement aberrant accepté par le filtre</x:v>
      </x:c>
      <x:c r="C27" s="61" t="str">
        <x:v>MDR, annexe I : § 15.1, 17.1-17.2</x:v>
      </x:c>
      <x:c r="D27" s="61" t="str">
        <x:v>Exactitude, stabilité et validation des mesures.</x:v>
      </x:c>
      <x:c r="E27" s="61" t="str">
        <x:v>Comparer à une référence adaptée ; tester vieillissement, valeurs aberrantes, qualité de contact et diversité des utilisateurs. Définir les conditions dans lesquelles une mesure est exploitable.</x:v>
      </x:c>
      <x:c r="F27" s="61" t="str">
        <x:v>T17 : tester limites du format, sentinelles et valeurs incohérentes ; vérifier rejet en décodage, stockage et affichage.</x:v>
      </x:c>
      <x:c r="G27" s="61" t="str">
        <x:v>À vérifier ; conformité non démontrée</x:v>
      </x:c>
    </x:row>
    <x:row r="28" ht="115" customHeight="1">
      <x:c r="A28" s="61" t="n">
        <x:v>18</x:v>
      </x:c>
      <x:c r="B28" s="61" t="str">
        <x:v>Ralentissement ou indisponibilité de l'affichage</x:v>
      </x:c>
      <x:c r="C28" s="61" t="str">
        <x:v>MDR, annexe I : § 14.2(d), 17.1-17.2, 18.1</x:v>
      </x:c>
      <x:c r="D28" s="61" t="str">
        <x:v>Fiabilité, défauts et interactions informatiques.</x:v>
      </x:c>
      <x:c r="E28" s="61" t="str">
        <x:v>Prouver le démarrage et la reprise de l’acquisition ; rendre visibles les lacunes ; tester charge CSV et confirmation MQTT lorsque l’option est utilisée. § 18.2 à examiner si la sécurité du patient dépend de la batterie.</x:v>
      </x:c>
      <x:c r="F28" s="61" t="str">
        <x:v>T18 : acquisition longue avec volumes représentatifs ; mesurer mémoire, CPU, délais d'affichage et comportement en manque d'espace disque.</x:v>
      </x:c>
      <x:c r="G28" s="61" t="str">
        <x:v>À vérifier ; conformité non démontrée</x:v>
      </x:c>
    </x:row>
    <x:row r="29" ht="115" customHeight="1">
      <x:c r="A29" s="61" t="n">
        <x:v>19</x:v>
      </x:c>
      <x:c r="B29" s="61" t="str">
        <x:v>Mesures MQTT supposées transmises sans confirmation</x:v>
      </x:c>
      <x:c r="C29" s="61" t="str">
        <x:v>MDR, annexe I : § 14.2(d), 17.1-17.2, 18.1</x:v>
      </x:c>
      <x:c r="D29" s="61" t="str">
        <x:v>Fiabilité, défauts et interactions informatiques.</x:v>
      </x:c>
      <x:c r="E29" s="61" t="str">
        <x:v>Prouver le démarrage et la reprise de l’acquisition ; rendre visibles les lacunes ; tester charge CSV et confirmation MQTT lorsque l’option est utilisée. § 18.2 à examiner si la sécurité du patient dépend de la batterie.</x:v>
      </x:c>
      <x:c r="F29" s="61" t="str">
        <x:v>T19 : couper/reprendre le serveur de test, vérifier les confirmations, l'état en attente, la reprise sans doublons et le contrôle de complétude.</x:v>
      </x:c>
      <x:c r="G29" s="61" t="str">
        <x:v>À vérifier ; conformité non démontrée</x:v>
      </x:c>
    </x:row>
    <x:row r="30" ht="115" customHeight="1">
      <x:c r="A30" s="61" t="n">
        <x:v>20</x:v>
      </x:c>
      <x:c r="B30" s="61" t="str">
        <x:v>Intervention alors que la batterie reste connectée</x:v>
      </x:c>
      <x:c r="C30" s="61" t="str">
        <x:v>MDR, annexe I : § 14.1-14.2, 18.1, 20</x:v>
      </x:c>
      <x:c r="D30" s="61" t="str">
        <x:v>Maîtriser les dangers physiques et thermiques.</x:v>
      </x:c>
      <x:c r="E30" s="61" t="str">
        <x:v>Qualifier la batterie et les protections ; tester branchements, liquide, chute, températures accessibles et isolation pour la maintenance. Les essais doivent porter sur l’ensemble final.</x:v>
      </x:c>
      <x:c r="F30" s="61" t="str">
        <x:v>T20 : vérifier au banc les circuits encore alimentés selon S1/USB ; évaluer la compréhension des états et la procédure d'isolation.</x:v>
      </x:c>
      <x:c r="G30" s="61" t="str">
        <x:v>À vérifier ; conformité non démontrée</x:v>
      </x:c>
    </x:row>
    <x:row r="31" ht="115" customHeight="1">
      <x:c r="A31" s="61" t="n">
        <x:v>21</x:v>
      </x:c>
      <x:c r="B31" s="61" t="str">
        <x:v>Démarrage impossible ou instable de l'alimentation</x:v>
      </x:c>
      <x:c r="C31" s="61" t="str">
        <x:v>MDR, annexe I : § 14.2(d), 17.1-17.2, 18.1</x:v>
      </x:c>
      <x:c r="D31" s="61" t="str">
        <x:v>Fiabilité, défauts et interactions informatiques.</x:v>
      </x:c>
      <x:c r="E31" s="61" t="str">
        <x:v>Prouver le démarrage et la reprise de l’acquisition ; rendre visibles les lacunes ; tester charge CSV et confirmation MQTT lorsque l’option est utilisée. § 18.2 à examiner si la sécurité du patient dépend de la batterie.</x:v>
      </x:c>
      <x:c r="F31" s="61" t="str">
        <x:v>T21 : mesurer courant d'appel, tensions et séquence de démarrage avec toutes les charges, batterie basse et transitions de source, sur banc limité en courant.</x:v>
      </x:c>
      <x:c r="G31" s="61" t="str">
        <x:v>À vérifier ; conformité non démontrée</x:v>
      </x:c>
    </x:row>
    <x:row r="32" ht="115" customHeight="1">
      <x:c r="A32" s="61" t="n">
        <x:v>22</x:v>
      </x:c>
      <x:c r="B32" s="61" t="str">
        <x:v>Performance optique insuffisante selon l'utilisateur</x:v>
      </x:c>
      <x:c r="C32" s="61" t="str">
        <x:v>MDR, annexe I : § 15.1, 17.1-17.2</x:v>
      </x:c>
      <x:c r="D32" s="61" t="str">
        <x:v>Exactitude, stabilité et validation des mesures.</x:v>
      </x:c>
      <x:c r="E32" s="61" t="str">
        <x:v>Comparer à une référence adaptée ; tester vieillissement, valeurs aberrantes, qualité de contact et diversité des utilisateurs. Définir les conditions dans lesquelles une mesure est exploitable.</x:v>
      </x:c>
      <x:c r="F32" s="61" t="str">
        <x:v>T22 : définir un protocole approprié avec référence, conditions de contact et diversité d'utilisateurs ; analyser erreurs et taux d'indisponibilité par condition.</x:v>
      </x:c>
      <x:c r="G32" s="61" t="str">
        <x:v>À vérifier ; conformité non démontrée</x:v>
      </x:c>
    </x:row>
    <x:row r="34" ht="46" customHeight="1">
      <x:c r="A34" s="60" t="str">
        <x:v>Les références sont des exigences à examiner, pas des attestations de conformité. ISO 14971 est une norme de méthode de gestion des risques, distincte du règlement ; son application et les autres normes pertinentes restent à justifier. Les réglementations radio, environnementales et batteries doivent aussi être examinées pour la configuration mise sur le marché. Le RGPD s’apprécie selon le traitement, indépendamment de la classe médicale.</x:v>
      </x:c>
      <x:c r="B34" s="60"/>
      <x:c r="C34" s="60"/>
      <x:c r="D34" s="60"/>
      <x:c r="E34" s="60"/>
      <x:c r="F34" s="60"/>
      <x:c r="G34" s="60"/>
    </x:row>
    <x:row r="36" ht="42" customHeight="1">
      <x:c r="A36" s="61" t="str">
        <x:v>REG1</x:v>
      </x:c>
      <x:c r="B36" s="61" t="str">
        <x:v>Règlement (UE) 2017/745 : art. 2, 52, 61 ; annexes I, II et VIII</x:v>
      </x:c>
      <x:c r="C36" s="61"/>
      <x:c r="D36" s="61" t="str">
        <x:v>https://eur-lex.europa.eu/eli/reg/2017/745/oj/fra</x:v>
      </x:c>
      <x:c r="E36" s="61"/>
      <x:c r="F36" s="61"/>
      <x:c r="G36" s="61"/>
    </x:row>
    <x:row r="37" ht="42" customHeight="1">
      <x:c r="A37" s="61" t="str">
        <x:v>REG2</x:v>
      </x:c>
      <x:c r="B37" s="61" t="str">
        <x:v>MDCG 2019-11 rév. 1, juin 2025 : qualification et règle 11</x:v>
      </x:c>
      <x:c r="C37" s="61"/>
      <x:c r="D37" s="61" t="str">
        <x:v>https://health.ec.europa.eu/document/download/b45335c5-1679-4c71-a91c-fc7a4d37f12b_en?filename=mdcg_2019_11_en.pdf</x:v>
      </x:c>
      <x:c r="E37" s="61"/>
      <x:c r="F37" s="61"/>
      <x:c r="G37" s="61"/>
    </x:row>
    <x:row r="38" ht="42" customHeight="1">
      <x:c r="A38" s="61" t="str">
        <x:v>REG3</x:v>
      </x:c>
      <x:c r="B38" s="61" t="str">
        <x:v>MDCG 2023-4 : combinaison logiciel médical et matériel</x:v>
      </x:c>
      <x:c r="C38" s="61"/>
      <x:c r="D38" s="61" t="str">
        <x:v>https://health.ec.europa.eu/system/files/2023-10/md_mdcg_2023-4_software_en.pdf</x:v>
      </x:c>
      <x:c r="E38" s="61"/>
      <x:c r="F38" s="61"/>
      <x:c r="G38" s="61"/>
    </x:row>
    <x:row r="39" ht="42" customHeight="1">
      <x:c r="A39" s="61" t="str">
        <x:v>REG4</x:v>
      </x:c>
      <x:c r="B39" s="61" t="str">
        <x:v>Règlement (UE) 2016/679 : principes, protection, sécurité et AIPD</x:v>
      </x:c>
      <x:c r="C39" s="61"/>
      <x:c r="D39" s="61" t="str">
        <x:v>https://eur-lex.europa.eu/eli/reg/2016/679/oj/fra</x:v>
      </x:c>
      <x:c r="E39" s="61"/>
      <x:c r="F39" s="61"/>
      <x:c r="G39" s="61"/>
    </x:row>
  </x:sheetData>
  <x:mergeCells>
    <x:mergeCell ref="A1:G1"/>
    <x:mergeCell ref="A3:G3"/>
    <x:mergeCell ref="A4:G4"/>
    <x:mergeCell ref="A5:G5"/>
    <x:mergeCell ref="A6:G6"/>
    <x:mergeCell ref="A7:G7"/>
    <x:mergeCell ref="A8:G8"/>
    <x:mergeCell ref="A34:G34"/>
    <x:mergeCell ref="B36:C36"/>
    <x:mergeCell ref="D36:G36"/>
    <x:mergeCell ref="B37:C37"/>
    <x:mergeCell ref="D37:G37"/>
    <x:mergeCell ref="B38:C38"/>
    <x:mergeCell ref="D38:G38"/>
    <x:mergeCell ref="B39:C39"/>
    <x:mergeCell ref="D39:G39"/>
  </x:mergeCells>
  <x:pageMargins left="0.7" right="0.7" top="0.75" bottom="0.75" header="0.3" footer="0.3"/>
</x:worksheet>
</file>