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ad792c60cbfc415a" /></Relationships>
</file>

<file path=xl/workbook.xml><?xml version="1.0" encoding="utf-8"?>
<x:workbook xmlns:x="http://schemas.openxmlformats.org/spreadsheetml/2006/main">
  <x:sheets>
    <x:sheet xmlns:r="http://schemas.openxmlformats.org/officeDocument/2006/relationships" name="Lisez-moi" sheetId="1" r:id="R3fd895ecd93f4b02"/>
    <x:sheet xmlns:r="http://schemas.openxmlformats.org/officeDocument/2006/relationships" name="Grille" sheetId="2" r:id="R04140e3de3a2472d"/>
  </x:sheets>
</x:workbook>
</file>

<file path=xl/comments1.xml><?xml version="1.0" encoding="utf-8"?>
<ns0:comments xmlns:ns0="http://schemas.openxmlformats.org/spreadsheetml/2006/main">
  <ns0:authors>
    <ns0:author/>
  </ns0:authors>
  <ns0:commentList>
    <ns0:comment ref="F5" authorId="0">
      <ns0:text>
        <ns0:r>
          <ns0:t>Périmètre retenu : App ECG de l'Apple Watch.
Sources consultées le 16 octobre 2026.
[S03] Apple : enregistrer un ECG avec l'app ECG
https://support.apple.com/fr-fr/120278
Finalité de détection des signes de fibrillation auriculaire.
[S04] Apple : notice européenne de l'app ECG, version 2.0
https://www.apple.com/legal/ifu/ecg/2-0/ecg-ifu-2-0-en_GB.pdf
Destination et limites d'utilisation de l'application médicale.
[S01] Règlement (UE) 2017/745 : art. 2 et annexe VIII
https://eur-lex.europa.eu/eli/reg/2017/745/oj?locale=fr
Qualification, destination, règles 3.3, 10, 11 et 12 ; intervention de l'organisme notifié : art. 52.
[S02] Commission européenne : MDCG 2019-11 rev. 1, juin 2025
https://health.ec.europa.eu/system/files/2025-06/mdcg_2019_11_en.pdf
Qualification et classification des logiciels ; périmètre des modules et conséquences des décisions.</ns0:t>
        </ns0:r>
      </ns0:text>
    </ns0:comment>
    <ns0:comment ref="F6" authorId="0">
      <ns0:text>
        <ns0:r>
          <ns0:t>Périmètre retenu : Withings BPM Connect.
Sources consultées le 16 octobre 2026.
[S05] Withings : BPM Connect
https://www.withings.com/fr-fr/products/bpm-connect
Mesure de la pression artérielle et revendication médicale.
[S06] Withings : données suivies et statut réglementaire dans l'UE
https://media.withings.com/legal/privacy/EU_Tracked-Data-Points.pdf
Gamme BPM : dispositifs médicaux de classe IIa.
[S01] Règlement (UE) 2017/745 : art. 2 et annexe VIII
https://eur-lex.europa.eu/eli/reg/2017/745/oj?locale=fr
Qualification, destination, règles 3.3, 10, 11 et 12 ; intervention de l'organisme notifié : art. 52.</ns0:t>
        </ns0:r>
      </ns0:text>
    </ns0:comment>
    <ns0:comment ref="F7" authorId="0">
      <ns0:text>
        <ns0:r>
          <ns0:t>Périmètre retenu : Petit BamBou : méditation / sommeil.
Sources consultées le 16 octobre 2026.
[S07] Petit BamBou : application Sommeil et approche non médicale
https://www.petitbambou.com/fr/articles/mieux-dormir-sommeil-application-petit-bambou
Promesse de relaxation et d'amélioration du sommeil.
[S01] Règlement (UE) 2017/745 : art. 2 et annexe VIII
https://eur-lex.europa.eu/eli/reg/2017/745/oj?locale=fr
Qualification, destination, règles 3.3, 10, 11 et 12 ; intervention de l'organisme notifié : art. 52.</ns0:t>
        </ns0:r>
      </ns0:text>
    </ns0:comment>
    <ns0:comment ref="F8" authorId="0">
      <ns0:text>
        <ns0:r>
          <ns0:t>Périmètre retenu : BodyScan 2 : fonction ECG ; comparaison BodyFit.
Sources consultées le 16 octobre 2026.
[S08] Withings : BodyScan 2
https://www.withings.com/fr-fr/products/bodyscan-2-black
Fonction ECG médicale, à distinguer des autres indicateurs de la balance.
[S09] Withings : FAQ BodyFit sur la vitesse d'onde de pouls
https://support.withings.com/hc/en-us/articles/45133944939409-BodyFit-Frequently-asked-questions-about-Pulse-Wave-Velocity
BodyFit est présenté comme un produit non médical.
[S10] Withings : déclaration UE de conformité ECG App Display
https://media.withings.com/legal/compliance/ECG-APP-DSP-DoC-MDR_01.pdf
Accessoire logiciel ECG App Display : IIa, règle 3.3. Ce document ne certifie pas toute la balance.
[S01] Règlement (UE) 2017/745 : art. 2 et annexe VIII
https://eur-lex.europa.eu/eli/reg/2017/745/oj?locale=fr
Qualification, destination, règles 3.3, 10, 11 et 12 ; intervention de l'organisme notifié : art. 52.
[S02] Commission européenne : MDCG 2019-11 rev. 1, juin 2025
https://health.ec.europa.eu/system/files/2025-06/mdcg_2019_11_en.pdf
Qualification et classification des logiciels ; périmètre des modules et conséquences des décisions.</ns0:t>
        </ns0:r>
      </ns0:text>
    </ns0:comment>
    <ns0:comment ref="F9" authorId="0">
      <ns0:text>
        <ns0:r>
          <ns0:t>Périmètre retenu : Pompe à insuline Omnipod DASH.
Sources consultées le 16 octobre 2026.
[S11] Insulet : destination du système Omnipod DASH
https://www.omnipod.com/fr-be/quest-ce-que-lomnipod/omnipod-dash
Administration sous-cutanée d'insuline à des débits fixes et variables.
[S12] HAS : avis Omnipod DASH, 2019
https://www.has-sante.fr/jcms/p_3165699/fr/omnipod-dash-insulin-management-system
Classe IIb documentée pour cette version de pompe.
[S01] Règlement (UE) 2017/745 : art. 2 et annexe VIII
https://eur-lex.europa.eu/eli/reg/2017/745/oj?locale=fr
Qualification, destination, règles 3.3, 10, 11 et 12 ; intervention de l'organisme notifié : art. 52.</ns0:t>
        </ns0:r>
      </ns0:text>
    </ns0:comment>
    <ns0:comment ref="F10" authorId="0">
      <ns0:text>
        <ns0:r>
          <ns0:t>Périmètre retenu : Implicity IM009.
Sources consultées le 16 octobre 2026.
[S13] Implicity : informations patients et mentions réglementaires
https://implicity.com/patients-informations/
IM009 : observations cliniques et tri ; classe I sous la directive 93/42/CEE. Ne pas confondre avec SignalHF.
[S14] HAS : IMPLICITY MCI IM009, février 2026, p. 7 et 13
https://www.has-sante.fr/upload/docs/application/pdf/2026-03/implicity_im009_avis_de_la_cnedimts_latm-18_occulte.docx.pdf
Ancienne classe I, transition vers le MDR ; classe nouvelle non précisée. La télésurveillance ne remplace pas une prise en charge urgente.
[S01] Règlement (UE) 2017/745 : art. 2 et annexe VIII
https://eur-lex.europa.eu/eli/reg/2017/745/oj?locale=fr
Qualification, destination, règles 3.3, 10, 11 et 12 ; intervention de l'organisme notifié : art. 52.
[S02] Commission européenne : MDCG 2019-11 rev. 1, juin 2025
https://health.ec.europa.eu/system/files/2025-06/mdcg_2019_11_en.pdf
Qualification et classification des logiciels ; périmètre des modules et conséquences des décisions.</ns0:t>
        </ns0:r>
      </ns0:text>
    </ns0:comment>
    <ns0:comment ref="F11" authorId="0">
      <ns0:text>
        <ns0:r>
          <ns0:t>Périmètre retenu : Détection de chute / téléassistance.
Sources consultées le 16 octobre 2026.
[S15] Apple : détection des chutes
https://support.apple.com/fr-fr/108896
Détection d'une chute et mise en relation avec les secours.
[S01] Règlement (UE) 2017/745 : art. 2 et annexe VIII
https://eur-lex.europa.eu/eli/reg/2017/745/oj?locale=fr
Qualification, destination, règles 3.3, 10, 11 et 12 ; intervention de l'organisme notifié : art. 52.
[S02] Commission européenne : MDCG 2019-11 rev. 1, juin 2025
https://health.ec.europa.eu/system/files/2025-06/mdcg_2019_11_en.pdf
Qualification et classification des logiciels ; périmètre des modules et conséquences des décisions.
Les deux phrases alternatives sont des propositions fictives pour répondre à la question 4, pas des citations du fabricant.</ns0:t>
        </ns0:r>
      </ns0:text>
    </ns0:comment>
    <ns0:comment ref="F12" authorId="0">
      <ns0:text>
        <ns0:r>
          <ns0:t>Périmètre retenu : Pilulier connecté : imedipac.
Sources consultées le 16 octobre 2026.
[S16] Medissimo : étude d'usage du pilulier connecté imedipac
https://www.medissimo.fr/wp-content/uploads/2023/06/3-EVALUATION-DES-RISQUES-D-USAGE-DU-PILULIER-CONNECTE.pdf
Étude ancienne hébergée par le fabricant ; suivi de l'observance.
[S17] Medissimo : histoire de l'entreprise et d'imedipac
https://www.medissimo.fr/histoire/
Le fabricant situe le retrait du marché d'imedipac en 2018.
[S18] HAS : MEDIPAC, 21 juin 2022, p. 4
https://www.has-sante.fr/upload/docs/evamed/CNEDIMTS-6711_MEDIPAC_21%20juin%202022_%286711%29_avis.pdf
Position ANSM rapportée : pilulier et applications de traçabilité/observance non considérés comme DM. MEDIPAC et imedipac sont distincts.
[S01] Règlement (UE) 2017/745 : art. 2 et annexe VIII
https://eur-lex.europa.eu/eli/reg/2017/745/oj?locale=fr
Qualification, destination, règles 3.3, 10, 11 et 12 ; intervention de l'organisme notifié : art. 52.
[S02] Commission européenne : MDCG 2019-11 rev. 1, juin 2025
https://health.ec.europa.eu/system/files/2025-06/mdcg_2019_11_en.pdf
Qualification et classification des logiciels ; périmètre des modules et conséquences des décisions.
Les deux phrases alternatives sont des propositions fictives pour répondre à la question 4, pas des citations du fabricant.</ns0:t>
        </ns0:r>
      </ns0:text>
    </ns0:comment>
    <ns0:comment ref="F13" authorId="0">
      <ns0:text>
        <ns0:t>Cas G réaligné le 19 octobre 2026 : risques de complications cardiovasculaires liés au stress et à la sédentarité. Suivi des tendances ET score personnalisé. IIa est l’hypothèse du TP pour une information de prévention, à réexaminer selon les décisions et leurs conséquences ; matériel à examiner. Prototype non certifié. Sources : https://eur-lex.europa.eu/legal-content/FR/TXT/?uri=CELEX:02017R0745-20260101 ; https://github.com/lebretyves/TP4-IoT-Autonomie/blob/6543503d76c83ec7af4f345288f158d1fb2ca3c9/analyses/m2_tp4/README.md</ns0:t>
      </ns0:text>
    </ns0:comment>
  </ns0:commentList>
</ns0:comments>
</file>

<file path=xl/sharedStrings.xml><?xml version="1.0" encoding="utf-8"?>
<x:sst xmlns:x="http://schemas.openxmlformats.org/spreadsheetml/2006/main">
  <x:si>
    <x:t xml:space="preserve">Grille de classification — TP M3-1 « Bien-être ou dispositif médical ? »</x:t>
  </x:si>
  <x:si>
    <x:t xml:space="preserve">Module 3 — vendredi 16 octobre 2026 — MBA Santé, IA &amp; IoT — Epitech — Nicolas LAURIO</x:t>
  </x:si>
  <x:si>
    <x:t xml:space="preserve">Exercice d'entraînement : les classes données sont des classes « probables », à vérifier sur la notice et le certificat du fabricant.</x:t>
  </x:si>
  <x:si>
    <x:t xml:space="preserve">Légende des cellules</x:t>
  </x:si>
  <x:si>
    <x:t xml:space="preserve">Police bleue sur fond bleu pâle = à remplir par l'équipe (listes déroulantes en E, G, H et I).</x:t>
  </x:si>
  <x:si>
    <x:t xml:space="preserve">Fond gris = donné (produit, exemple réel, où chercher).</x:t>
  </x:si>
  <x:si>
    <x:t xml:space="preserve">Colonne K = vérification automatique : elle repère les réponses incohérentes. Ne pas l'écraser.</x:t>
  </x:si>
  <x:si>
    <x:t xml:space="preserve">La procédure en 4 questions (voir l'énoncé et le schéma « arbre de qualification »)</x:t>
  </x:si>
  <x:si>
    <x:t xml:space="preserve">(a) Le fabricant annonce-t-il une finalité médicale (diagnostiquer, prévenir, surveiller, prédire, traiter, atténuer une maladie, compenser un handicap) ? Non → Bien-être. Oui → Dispositif médical. Ça dépend de la phrase → À discuter.</x:t>
  </x:si>
  <x:si>
    <x:t xml:space="preserve">(b) Recopiez la phrase de la notice, de la publicité ou du site qui le prouve. C'est elle qui décide, pas le capteur.</x:t>
  </x:si>
  <x:si>
    <x:t xml:space="preserve">(c) Si dispositif médical : est-ce un logiciel ? Oui → règle 11. Non (objet physique) → autres règles (ex. règle 10 pour un appareil de mesure, règle 12 pour un appareil qui délivre un médicament).</x:t>
  </x:si>
  <x:si>
    <x:t xml:space="preserve">(d) Classe I → en général pas d'organisme notifié (le fabricant s'auto-déclare). Dès IIa → organisme notifié obligatoire (ex. GMED en France).</x:t>
  </x:si>
  <x:si>
    <x:t xml:space="preserve">Règle 11 en clair (logiciels)</x:t>
  </x:si>
  <x:si>
    <x:t xml:space="preserve">• Il aide à décider d'un diagnostic ou d'un traitement → IIa ; si une erreur peut causer une détérioration grave ou une opération → IIb ; la mort ou un dommage irréversible → III.</x:t>
  </x:si>
  <x:si>
    <x:t xml:space="preserve">• Il surveille le corps (processus physiologiques) → IIa ; des paramètres vitaux avec un danger immédiat → IIb.</x:t>
  </x:si>
  <x:si>
    <x:t xml:space="preserve">• Tous les autres cas → I. Conséquence : la plupart des logiciels médicaux sont au moins IIa.</x:t>
  </x:si>
  <x:si>
    <x:t xml:space="preserve">Astuce pour enquêter</x:t>
  </x:si>
  <x:si>
    <x:t xml:space="preserve">Sur la notice ou l'emballage, un numéro à 4 chiffres à côté du logo CE signale qu'un organisme notifié est intervenu. Les mots « clinique » ou « validé par des médecins » ne prouvent rien à eux seuls.</x:t>
  </x:si>
  <x:si>
    <x:t xml:space="preserve">Livrable</x:t>
  </x:si>
  <x:si>
    <x:t xml:space="preserve">Enregistrez sous grille_classification_eqNN.xlsx (NN = numéro d'équipe) dans analyses/m3/ du dépôt.</x:t>
  </x:si>
  <x:si>
    <x:t xml:space="preserve">Classer 8 produits réels</x:t>
  </x:si>
  <x:si>
    <x:t xml:space="preserve">N°</x:t>
  </x:si>
  <x:si>
    <x:t xml:space="preserve">Produit</x:t>
  </x:si>
  <x:si>
    <x:t xml:space="preserve">Où chercher</x:t>
  </x:si>
  <x:si>
    <x:t xml:space="preserve">(a) Bien-être ou dispositif médical ?</x:t>
  </x:si>
  <x:si>
    <x:t xml:space="preserve">(b) Phrase de la notice ou de la publicité qui le prouve</x:t>
  </x:si>
  <x:si>
    <x:t xml:space="preserve">(c) Classe probable</x:t>
  </x:si>
  <x:si>
    <x:t xml:space="preserve">(c) Règle utilisée</x:t>
  </x:si>
  <x:si>
    <x:t xml:space="preserve">(d) Organisme notifié ?</x:t>
  </x:si>
  <x:si>
    <x:t xml:space="preserve">Justification (2 lignes)</x:t>
  </x:si>
  <x:si>
    <x:t xml:space="preserve">Vérification automatique (ne pas modifier)</x:t>
  </x:si>
  <x:si>
    <x:t xml:space="preserve">Application ECG d'une montre connectée</x:t>
  </x:si>
  <x:si>
    <x:t xml:space="preserve">Page d'aide Apple « app ECG », notice de l'app</x:t>
  </x:si>
  <x:si>
    <x:t xml:space="preserve">Tensiomètre connecté (bras)</x:t>
  </x:si>
  <x:si>
    <x:t xml:space="preserve">Fiche produit, notice PDF (logo CE + numéro à 4 chiffres)</x:t>
  </x:si>
  <x:si>
    <x:t xml:space="preserve">Application de méditation et de sommeil</x:t>
  </x:si>
  <x:si>
    <x:t xml:space="preserve">Site de l'éditeur, fiche App Store / Google Play</x:t>
  </x:si>
  <x:si>
    <x:t xml:space="preserve">Balance connectée « multifonction »</x:t>
  </x:si>
  <x:si>
    <x:t xml:space="preserve">Fiche produit Withings, notice, FAQ « dispositif médical »</x:t>
  </x:si>
  <x:si>
    <x:t xml:space="preserve">Pompe à insuline patch</x:t>
  </x:si>
  <x:si>
    <x:t xml:space="preserve">Site Omnipod, notice, avis de l'ANSM</x:t>
  </x:si>
  <x:si>
    <x:t xml:space="preserve">Logiciel de télésurveillance cardiaque</x:t>
  </x:si>
  <x:si>
    <x:t xml:space="preserve">Site Implicity, avis de la HAS (IMPLICITY IM009)</x:t>
  </x:si>
  <x:si>
    <x:t xml:space="preserve">Détecteur de chute / téléassistance pour personne âgée (cas limite)</x:t>
  </x:si>
  <x:si>
    <x:t xml:space="preserve">Site de l'offre, conditions générales, notice du détecteur</x:t>
  </x:si>
  <x:si>
    <x:t xml:space="preserve">Pilulier connecté avec rappels (cas limite)</x:t>
  </x:si>
  <x:si>
    <x:t xml:space="preserve">Site Medissimo ; avis de la HAS sur MEDIPAC (21 juin 2022)</x:t>
  </x:si>
  <x:si>
    <x:t xml:space="preserve">Nombre de produits remplis (colonne E)</x:t>
  </x:si>
  <x:si>
    <x:t xml:space="preserve">Lignes « OK » (vérification automatique)</x:t>
  </x:si>
</x:sst>
</file>

<file path=xl/styles.xml><?xml version="1.0" encoding="utf-8"?>
<x:styleSheet xmlns:x="http://schemas.openxmlformats.org/spreadsheetml/2006/main">
  <x:fonts count="6">
    <x:font>
      <x:sz val="11"/>
      <x:color theme="1"/>
      <x:name val="Calibri"/>
      <x:family val="2"/>
      <x:scheme val="minor"/>
    </x:font>
    <x:font>
      <x:b/>
      <x:sz val="14"/>
      <x:name val="Calibri"/>
    </x:font>
    <x:font>
      <x:sz val="11"/>
      <x:color rgb="FF595959"/>
      <x:name val="Calibri"/>
    </x:font>
    <x:font>
      <x:b/>
      <x:sz val="11"/>
      <x:name val="Calibri"/>
    </x:font>
    <x:font>
      <x:sz val="11"/>
      <x:color rgb="FF0000FF"/>
      <x:name val="Calibri"/>
    </x:font>
    <x:font>
      <x:b/>
      <x:sz val="11"/>
      <x:color rgb="FFFFFFFF"/>
      <x:name val="Calibri"/>
    </x:font>
  </x:fonts>
  <x:fills count="5">
    <x:fill>
      <x:patternFill patternType="none"/>
    </x:fill>
    <x:fill>
      <x:patternFill patternType="gray125"/>
    </x:fill>
    <x:fill>
      <x:patternFill patternType="solid">
        <x:fgColor rgb="FFDDEBF7"/>
      </x:patternFill>
    </x:fill>
    <x:fill>
      <x:patternFill patternType="solid">
        <x:fgColor rgb="FF1F4E78"/>
      </x:patternFill>
    </x:fill>
    <x:fill>
      <x:patternFill patternType="solid">
        <x:fgColor rgb="FFF2F2F2"/>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13">
    <x:xf numFmtId="0" fontId="0" fillId="0" borderId="0" xfId="0"/>
    <x:xf numFmtId="0" fontId="1" fillId="0" borderId="0" xfId="0" applyFont="1" applyAlignment="1">
      <x:alignment vertical="top" wrapText="1"/>
    </x:xf>
    <x:xf numFmtId="0" fontId="2" fillId="0" borderId="0" xfId="0" applyFont="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4" fillId="2" borderId="0" xfId="0" applyFont="1" applyFill="1" applyAlignment="1">
      <x:alignment vertical="top" wrapText="1"/>
    </x:xf>
    <x:xf numFmtId="0" fontId="1" fillId="0" borderId="0" xfId="0" applyFont="1"/>
    <x:xf numFmtId="0" fontId="2" fillId="0" borderId="0" xfId="0" applyFont="1"/>
    <x:xf numFmtId="0" fontId="5" fillId="3" borderId="1" xfId="0" applyFont="1" applyFill="1" applyBorder="1" applyAlignment="1">
      <x:alignment horizontal="center" vertical="center" wrapText="1"/>
    </x:xf>
    <x:xf numFmtId="0" fontId="0" fillId="4" borderId="1" xfId="0" applyFill="1" applyBorder="1" applyAlignment="1">
      <x:alignment vertical="top" wrapText="1"/>
    </x:xf>
    <x:xf numFmtId="0" fontId="4" fillId="2" borderId="1" xfId="0" applyFont="1" applyFill="1" applyBorder="1" applyAlignment="1">
      <x:alignment vertical="top" wrapText="1"/>
    </x:xf>
    <x:xf numFmtId="0" fontId="0" fillId="0" borderId="1" xfId="0" applyBorder="1" applyAlignment="1">
      <x:alignment vertical="top" wrapText="1"/>
    </x:xf>
    <x:xf numFmtId="0" fontId="3" fillId="0" borderId="0" xfId="0" applyFont="1"/>
  </x:cellXfs>
  <x:cellStyles count="1">
    <x:cellStyle name="Normal" xfId="0"/>
  </x:cellStyles>
  <x:dxfs count="2">
    <x:dxf>
      <x:fill>
        <x:patternFill>
          <x:bgColor rgb="FFFDE8DE"/>
        </x:patternFill>
      </x:fill>
    </x:dxf>
    <x:dxf>
      <x:fill>
        <x:patternFill>
          <x:bgColor rgb="FFDC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91e897524b46b8" /><Relationship Type="http://schemas.openxmlformats.org/officeDocument/2006/relationships/theme" Target="/xl/theme/theme1.xml" Id="R9ad8ec26ad57498f" /><Relationship Type="http://schemas.openxmlformats.org/officeDocument/2006/relationships/sharedStrings" Target="/xl/sharedStrings.xml" Id="R261b9b544b77482a" /><Relationship Type="http://schemas.openxmlformats.org/officeDocument/2006/relationships/worksheet" Target="/xl/worksheets/sheet1.xml" Id="R3fd895ecd93f4b02" /><Relationship Type="http://schemas.openxmlformats.org/officeDocument/2006/relationships/worksheet" Target="/xl/worksheets/sheet2.xml" Id="R04140e3de3a2472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fbefcd8c554d4cf3" /><Relationship Type="http://schemas.openxmlformats.org/officeDocument/2006/relationships/vmlDrawing" Target="/xl/drawings/vmldrawing.vml" Id="R7ebe2544d6844f05" /></Relationships>
</file>

<file path=xl/worksheets/sheet1.xml><?xml version="1.0" encoding="utf-8"?>
<x:worksheet xmlns:x="http://schemas.openxmlformats.org/spreadsheetml/2006/main">
  <x:sheetFormatPr defaultRowHeight="15"/>
  <x:cols>
    <x:col min="1" max="1" width="120" customWidth="1"/>
  </x:cols>
  <x:sheetData>
    <x:row r="1">
      <x:c r="A1" s="1" t="s">
        <x:v>0</x:v>
      </x:c>
    </x:row>
    <x:row r="2">
      <x:c r="A2" s="2" t="s">
        <x:v>1</x:v>
      </x:c>
    </x:row>
    <x:row r="3">
      <x:c r="A3" s="3" t="s">
        <x:v>2</x:v>
      </x:c>
    </x:row>
    <x:row r="4">
      <x:c r="A4" s="4"/>
    </x:row>
    <x:row r="5">
      <x:c r="A5" s="3" t="s">
        <x:v>3</x:v>
      </x:c>
    </x:row>
    <x:row r="6">
      <x:c r="A6" s="5" t="s">
        <x:v>4</x:v>
      </x:c>
    </x:row>
    <x:row r="7">
      <x:c r="A7" s="4" t="s">
        <x:v>5</x:v>
      </x:c>
    </x:row>
    <x:row r="8">
      <x:c r="A8" s="4" t="s">
        <x:v>6</x:v>
      </x:c>
    </x:row>
    <x:row r="9">
      <x:c r="A9" s="4"/>
    </x:row>
    <x:row r="10">
      <x:c r="A10" s="3" t="s">
        <x:v>7</x:v>
      </x:c>
    </x:row>
    <x:row r="11">
      <x:c r="A11" s="4" t="s">
        <x:v>8</x:v>
      </x:c>
    </x:row>
    <x:row r="12">
      <x:c r="A12" s="4" t="s">
        <x:v>9</x:v>
      </x:c>
    </x:row>
    <x:row r="13">
      <x:c r="A13" s="4" t="s">
        <x:v>10</x:v>
      </x:c>
    </x:row>
    <x:row r="14">
      <x:c r="A14" s="4" t="s">
        <x:v>11</x:v>
      </x:c>
    </x:row>
    <x:row r="15">
      <x:c r="A15" s="4"/>
    </x:row>
    <x:row r="16">
      <x:c r="A16" s="3" t="s">
        <x:v>12</x:v>
      </x:c>
    </x:row>
    <x:row r="17">
      <x:c r="A17" s="4" t="s">
        <x:v>13</x:v>
      </x:c>
    </x:row>
    <x:row r="18">
      <x:c r="A18" s="4" t="s">
        <x:v>14</x:v>
      </x:c>
    </x:row>
    <x:row r="19">
      <x:c r="A19" s="4" t="s">
        <x:v>15</x:v>
      </x:c>
    </x:row>
    <x:row r="20">
      <x:c r="A20" s="4"/>
    </x:row>
    <x:row r="21">
      <x:c r="A21" s="3" t="s">
        <x:v>16</x:v>
      </x:c>
    </x:row>
    <x:row r="22">
      <x:c r="A22" s="4" t="s">
        <x:v>17</x:v>
      </x:c>
    </x:row>
    <x:row r="23">
      <x:c r="A23" s="4"/>
    </x:row>
    <x:row r="24">
      <x:c r="A24" s="3" t="s">
        <x:v>18</x:v>
      </x:c>
    </x:row>
    <x:row r="25">
      <x:c r="A25" s="4" t="s">
        <x:v>19</x:v>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5" customWidth="1"/>
    <x:col min="2" max="2" width="26" customWidth="1"/>
    <x:col min="3" max="3" width="30" customWidth="1"/>
    <x:col min="4" max="4" width="24" customWidth="1"/>
    <x:col min="5" max="5" width="20" customWidth="1"/>
    <x:col min="6" max="6" width="46" customWidth="1"/>
    <x:col min="7" max="7" width="12" customWidth="1"/>
    <x:col min="8" max="8" width="22" customWidth="1"/>
    <x:col min="9" max="9" width="13" customWidth="1"/>
    <x:col min="10" max="10" width="60" customWidth="1"/>
    <x:col min="11" max="11" width="34" customWidth="1"/>
  </x:cols>
  <x:sheetData>
    <x:row r="1">
      <x:c r="A1" s="6" t="s">
        <x:v>20</x:v>
      </x:c>
    </x:row>
    <x:row r="2">
      <x:c r="A2" s="7" t="str">
        <x:v>Un exemple précis par ligne. « Non applicable » = usage hors dispositif médical, donc aucune classe ni règle MDR. Classes probables et anciens régimes précisés en J. Sources dans les notes F.</x:v>
      </x:c>
    </x:row>
    <x:row r="4" ht="45" customHeight="1">
      <x:c r="A4" s="8" t="s">
        <x:v>21</x:v>
      </x:c>
      <x:c r="B4" s="8" t="s">
        <x:v>22</x:v>
      </x:c>
      <x:c r="C4" s="8" t="str">
        <x:v>Exemple étudié</x:v>
      </x:c>
      <x:c r="D4" s="8" t="s">
        <x:v>23</x:v>
      </x:c>
      <x:c r="E4" s="8" t="s">
        <x:v>24</x:v>
      </x:c>
      <x:c r="F4" s="8" t="s">
        <x:v>25</x:v>
      </x:c>
      <x:c r="G4" s="8" t="s">
        <x:v>26</x:v>
      </x:c>
      <x:c r="H4" s="8" t="s">
        <x:v>27</x:v>
      </x:c>
      <x:c r="I4" s="8" t="s">
        <x:v>28</x:v>
      </x:c>
      <x:c r="J4" s="8" t="s">
        <x:v>29</x:v>
      </x:c>
      <x:c r="K4" s="8" t="s">
        <x:v>30</x:v>
      </x:c>
    </x:row>
    <x:row r="5" ht="110" customHeight="1">
      <x:c r="A5" s="9">
        <x:v>1</x:v>
      </x:c>
      <x:c r="B5" s="9" t="s">
        <x:v>31</x:v>
      </x:c>
      <x:c r="C5" s="9" t="str">
        <x:v>App ECG de l’Apple Watch (Apple), version 2.0 UE</x:v>
      </x:c>
      <x:c r="D5" s="9" t="s">
        <x:v>32</x:v>
      </x:c>
      <x:c r="E5" s="10" t="str">
        <x:v>Dispositif médical</x:v>
      </x:c>
      <x:c r="F5" s="10" t="str">
        <x:v>« analyser les données relevées pour détecter d’éventuels signes de fibrillation auriculaire (FA), un trouble du rythme cardiaque. »</x:v>
      </x:c>
      <x:c r="G5" s="10" t="str">
        <x:v>IIa</x:v>
      </x:c>
      <x:c r="H5" s="10" t="str">
        <x:v>Règle 11 (logiciel)</x:v>
      </x:c>
      <x:c r="I5" s="10" t="str">
        <x:v>Oui</x:v>
      </x:c>
      <x:c r="J5" s="10" t="str">
        <x:v>L’app repère des signes de fibrillation auriculaire. IIa est la proposition du TP pour l’usage décrit, à confirmer sur le certificat UE exact. La montre entière n’est pas un DM. Une aide au diagnostic à risque plus élevé peut relever de IIb ou III.</x:v>
      </x:c>
      <x:c r="K5" s="11" t="str">
        <x:f>IF(E5="","",IF(AND(E5="Bien-être",G5&lt;&gt;"—",G5&lt;&gt;"Non applicable",G5&lt;&gt;""),"À revoir : un produit bien-être n'a pas de classe (Non applicable)",IF(AND(E5="Dispositif médical",OR(G5="—",G5="Non applicable",G5="")),"Indiquez une classe : I, IIa, IIb ou III",IF(AND(OR(G5="IIa",G5="IIb",G5="III"),I5="Non"),"À revoir : dès IIa, organisme notifié",IF(AND(G5="I",I5="Oui"),"À vérifier : classe I = en général auto-déclaration",IF(F5="","Ajoutez la phrase qui prouve la finalité","OK"))))))</x:f>
        <x:v>OK</x:v>
      </x:c>
    </x:row>
    <x:row r="6" ht="100" customHeight="1">
      <x:c r="A6" s="9">
        <x:v>2</x:v>
      </x:c>
      <x:c r="B6" s="9" t="s">
        <x:v>33</x:v>
      </x:c>
      <x:c r="C6" s="9" t="str">
        <x:v>Withings BPM Connect</x:v>
      </x:c>
      <x:c r="D6" s="9" t="s">
        <x:v>34</x:v>
      </x:c>
      <x:c r="E6" s="10" t="str">
        <x:v>Dispositif médical</x:v>
      </x:c>
      <x:c r="F6" s="10" t="str">
        <x:v>« c’est un outil de diagnostic de qualité médicale »</x:v>
      </x:c>
      <x:c r="G6" s="10" t="str">
        <x:v>IIa</x:v>
      </x:c>
      <x:c r="H6" s="10" t="str">
        <x:v>Règle 10 (appareil de mesure)</x:v>
      </x:c>
      <x:c r="I6" s="10" t="str">
        <x:v>Oui</x:v>
      </x:c>
      <x:c r="J6" s="10" t="str">
        <x:v>Le brassard mesure la pression artérielle pour le suivi de l’hypertension. Appareil actif de mesure : règle 10, classe IIa, organisme notifié requis. Le Bluetooth ne détermine pas la classe.</x:v>
      </x:c>
      <x:c r="K6" s="11" t="str">
        <x:f>IF(E6="","",IF(AND(E6="Bien-être",G6&lt;&gt;"—",G6&lt;&gt;"Non applicable",G6&lt;&gt;""),"À revoir : un produit bien-être n'a pas de classe (Non applicable)",IF(AND(E6="Dispositif médical",OR(G6="—",G6="Non applicable",G6="")),"Indiquez une classe : I, IIa, IIb ou III",IF(AND(OR(G6="IIa",G6="IIb",G6="III"),I6="Non"),"À revoir : dès IIa, organisme notifié",IF(AND(G6="I",I6="Oui"),"À vérifier : classe I = en général auto-déclaration",IF(F6="","Ajoutez la phrase qui prouve la finalité","OK"))))))</x:f>
        <x:v>OK</x:v>
      </x:c>
    </x:row>
    <x:row r="7" ht="100" customHeight="1">
      <x:c r="A7" s="9">
        <x:v>3</x:v>
      </x:c>
      <x:c r="B7" s="9" t="s">
        <x:v>35</x:v>
      </x:c>
      <x:c r="C7" s="9" t="str">
        <x:v>Petit BamBou : application Sommeil</x:v>
      </x:c>
      <x:c r="D7" s="9" t="s">
        <x:v>36</x:v>
      </x:c>
      <x:c r="E7" s="10" t="str">
        <x:v>Bien-être</x:v>
      </x:c>
      <x:c r="F7" s="10" t="str">
        <x:v>« Sommeil avec Petit BamBou propose une approche naturelle et non médicale »</x:v>
      </x:c>
      <x:c r="G7" s="10" t="str">
        <x:v>Non applicable</x:v>
      </x:c>
      <x:c r="H7" s="10" t="str">
        <x:v>Non applicable</x:v>
      </x:c>
      <x:c r="I7" s="10" t="str">
        <x:v>Non</x:v>
      </x:c>
      <x:c r="J7" s="10" t="str">
        <x:v>L’éditeur annonce une approche non médicale pour améliorer le sommeil. Conclusion : bien-être. Classe et règle MDR non applicables, sans organisme notifié médical. Calm et Headspace ne sont pas les exemples retenus.</x:v>
      </x:c>
      <x:c r="K7" s="11" t="str">
        <x:f>IF(E7="","",IF(AND(E7="Bien-être",G7&lt;&gt;"—",G7&lt;&gt;"Non applicable",G7&lt;&gt;""),"À revoir : un produit bien-être n'a pas de classe (Non applicable)",IF(AND(E7="Dispositif médical",OR(G7="—",G7="Non applicable",G7="")),"Indiquez une classe : I, IIa, IIb ou III",IF(AND(OR(G7="IIa",G7="IIb",G7="III"),I7="Non"),"À revoir : dès IIa, organisme notifié",IF(AND(G7="I",I7="Oui"),"À vérifier : classe I = en général auto-déclaration",IF(F7="","Ajoutez la phrase qui prouve la finalité","OK"))))))</x:f>
        <x:v>OK</x:v>
      </x:c>
    </x:row>
    <x:row r="8" ht="125" customHeight="1">
      <x:c r="A8" s="9">
        <x:v>4</x:v>
      </x:c>
      <x:c r="B8" s="9" t="s">
        <x:v>37</x:v>
      </x:c>
      <x:c r="C8" s="9" t="str">
        <x:v>Withings BodyScan 2 : fonction ECG Monitor 2. Comparaison : BodyFit.</x:v>
      </x:c>
      <x:c r="D8" s="9" t="s">
        <x:v>38</x:v>
      </x:c>
      <x:c r="E8" s="10" t="str">
        <x:v>Dispositif médical</x:v>
      </x:c>
      <x:c r="F8" s="10" t="str">
        <x:v>« La détection de la fibrillation auriculaire est disponible via Withings ECG Monitor 2 »</x:v>
      </x:c>
      <x:c r="G8" s="10" t="str">
        <x:v>IIa</x:v>
      </x:c>
      <x:c r="H8" s="10" t="str">
        <x:v>Règle 11 (logiciel)</x:v>
      </x:c>
      <x:c r="I8" s="10" t="str">
        <x:v>Oui</x:v>
      </x:c>
      <x:c r="J8" s="10" t="str">
        <x:v>La fonction ECG est médicale. IIa/règle 11 reste une proposition pour l’analyse, certificat exact à vérifier. Elle ne classe pas toute la balance. BodyFit est présenté comme non médical. La déclaration ECG App Display concerne un autre module.</x:v>
      </x:c>
      <x:c r="K8" s="11" t="str">
        <x:f>IF(E8="","",IF(AND(E8="Bien-être",G8&lt;&gt;"—",G8&lt;&gt;"Non applicable",G8&lt;&gt;""),"À revoir : un produit bien-être n'a pas de classe (Non applicable)",IF(AND(E8="Dispositif médical",OR(G8="—",G8="Non applicable",G8="")),"Indiquez une classe : I, IIa, IIb ou III",IF(AND(OR(G8="IIa",G8="IIb",G8="III"),I8="Non"),"À revoir : dès IIa, organisme notifié",IF(AND(G8="I",I8="Oui"),"À vérifier : classe I = en général auto-déclaration",IF(F8="","Ajoutez la phrase qui prouve la finalité","OK"))))))</x:f>
        <x:v>OK</x:v>
      </x:c>
    </x:row>
    <x:row r="9" ht="110" customHeight="1">
      <x:c r="A9" s="9">
        <x:v>5</x:v>
      </x:c>
      <x:c r="B9" s="9" t="s">
        <x:v>39</x:v>
      </x:c>
      <x:c r="C9" s="9" t="str">
        <x:v>Omnipod DASH (Insulet)</x:v>
      </x:c>
      <x:c r="D9" s="9" t="s">
        <x:v>40</x:v>
      </x:c>
      <x:c r="E9" s="10" t="str">
        <x:v>Dispositif médical</x:v>
      </x:c>
      <x:c r="F9" s="10" t="str">
        <x:v>« destiné à l’administration sous-cutanée d’insuline à des débits fixes et variables »</x:v>
      </x:c>
      <x:c r="G9" s="10" t="str">
        <x:v>IIb</x:v>
      </x:c>
      <x:c r="H9" s="10" t="str">
        <x:v>Règle 12 (administre un médicament)</x:v>
      </x:c>
      <x:c r="I9" s="10" t="str">
        <x:v>Oui</x:v>
      </x:c>
      <x:c r="J9" s="10" t="str">
        <x:v>DASH administre de l’insuline. Une erreur de dose ou de débit peut être dangereuse : règle 12, IIb, organisme notifié requis. Ce classement ne s’étend pas automatiquement aux autres versions Omnipod.</x:v>
      </x:c>
      <x:c r="K9" s="11" t="str">
        <x:f>IF(E9="","",IF(AND(E9="Bien-être",G9&lt;&gt;"—",G9&lt;&gt;"Non applicable",G9&lt;&gt;""),"À revoir : un produit bien-être n'a pas de classe (Non applicable)",IF(AND(E9="Dispositif médical",OR(G9="—",G9="Non applicable",G9="")),"Indiquez une classe : I, IIa, IIb ou III",IF(AND(OR(G9="IIa",G9="IIb",G9="III"),I9="Non"),"À revoir : dès IIa, organisme notifié",IF(AND(G9="I",I9="Oui"),"À vérifier : classe I = en général auto-déclaration",IF(F9="","Ajoutez la phrase qui prouve la finalité","OK"))))))</x:f>
        <x:v>OK</x:v>
      </x:c>
    </x:row>
    <x:row r="10" ht="150" customHeight="1">
      <x:c r="A10" s="9">
        <x:v>6</x:v>
      </x:c>
      <x:c r="B10" s="9" t="s">
        <x:v>41</x:v>
      </x:c>
      <x:c r="C10" s="9" t="str">
        <x:v>Implicity IM009 : classe I déclarée sous la directive 93/42/CEE</x:v>
      </x:c>
      <x:c r="D10" s="9" t="s">
        <x:v>42</x:v>
      </x:c>
      <x:c r="E10" s="10" t="str">
        <x:v>Dispositif médical</x:v>
      </x:c>
      <x:c r="F10" s="10" t="str">
        <x:v>« create clinically relevant observations for worsening atrial fibrillation »
Traduction : créer des observations cliniquement pertinentes sur l'aggravation de la fibrillation auriculaire.</x:v>
      </x:c>
      <x:c r="G10" s="10" t="str">
        <x:v>I</x:v>
      </x:c>
      <x:c r="H10" s="10" t="str">
        <x:v>Autre (préciser)</x:v>
      </x:c>
      <x:c r="I10" s="10" t="str">
        <x:v>Non</x:v>
      </x:c>
      <x:c r="J10" s="10" t="str">
        <x:v>G et I décrivent la classe I déclarée sous l’ancienne directive et sa procédure initiale sans ON. La règle précise de cette déclaration n’est pas fournie. Sous MDR : règle 11 ; classe actuelle et intervention de l’ON à confirmer. Ne pas présenter IIa comme une certification d’IM009.</x:v>
      </x:c>
      <x:c r="K10" s="11" t="str">
        <x:f>IF(E10="","",IF(AND(E10="Bien-être",G10&lt;&gt;"—",G10&lt;&gt;"Non applicable",G10&lt;&gt;""),"À revoir : un produit bien-être n'a pas de classe (Non applicable)",IF(AND(E10="Dispositif médical",OR(G10="—",G10="Non applicable",G10="")),"Indiquez une classe : I, IIa, IIb ou III",IF(AND(OR(G10="IIa",G10="IIb",G10="III"),I10="Non"),"À revoir : dès IIa, organisme notifié",IF(AND(G10="I",I10="Oui"),"À vérifier : classe I = en général auto-déclaration",IF(F10="","Ajoutez la phrase qui prouve la finalité","OK"))))))</x:f>
        <x:v>OK</x:v>
      </x:c>
    </x:row>
    <x:row r="11" ht="150" customHeight="1">
      <x:c r="A11" s="9">
        <x:v>7</x:v>
      </x:c>
      <x:c r="B11" s="9" t="s">
        <x:v>43</x:v>
      </x:c>
      <x:c r="C11" s="9" t="str">
        <x:v>Apple Watch : fonction Détection des chutes et appel des secours</x:v>
      </x:c>
      <x:c r="D11" s="9" t="s">
        <x:v>44</x:v>
      </x:c>
      <x:c r="E11" s="10" t="str">
        <x:v>Bien-être</x:v>
      </x:c>
      <x:c r="F11" s="10" t="str">
        <x:v>Apple : « Si l’Apple Watch détecte une mauvaise chute, elle peut vous mettre en relation avec les services d’urgence. »
Usage retenu : assistance de sécurité.
Question 4, propositions fictives :
Bien-être : « Appelle un proche après une chute. »
Médical : « Analyse la marche pour aider au diagnostic d’une maladie neurologique. »</x:v>
      </x:c>
      <x:c r="G11" s="10" t="str">
        <x:v>Non applicable</x:v>
      </x:c>
      <x:c r="H11" s="10" t="str">
        <x:v>Non applicable</x:v>
      </x:c>
      <x:c r="I11" s="10" t="str">
        <x:v>Non</x:v>
      </x:c>
      <x:c r="J11" s="10" t="str">
        <x:v>Position retenue : assistance de sécurité, hors DM pour l’usage décrit. La fonction détecte une chute et appelle les secours, sans diagnostic revendiqué dans la page consultée. Classe/règle MDR non applicables, ON médical non requis. « Bien-être » est la catégorie non-DM du modèle.</x:v>
      </x:c>
      <x:c r="K11" s="11" t="str">
        <x:f>IF(E11="","",IF(AND(E11="Bien-être",G11&lt;&gt;"—",G11&lt;&gt;"Non applicable",G11&lt;&gt;""),"À revoir : un produit bien-être n'a pas de classe (Non applicable)",IF(AND(E11="Dispositif médical",OR(G11="—",G11="Non applicable",G11="")),"Indiquez une classe : I, IIa, IIb ou III",IF(AND(OR(G11="IIa",G11="IIb",G11="III"),I11="Non"),"À revoir : dès IIa, organisme notifié",IF(AND(G11="I",I11="Oui"),"À vérifier : classe I = en général auto-déclaration",IF(F11="","Ajoutez la phrase qui prouve la finalité","OK"))))))</x:f>
        <x:v>OK</x:v>
      </x:c>
    </x:row>
    <x:row r="12" ht="150" customHeight="1">
      <x:c r="A12" s="9">
        <x:v>8</x:v>
      </x:c>
      <x:c r="B12" s="9" t="s">
        <x:v>45</x:v>
      </x:c>
      <x:c r="C12" s="9" t="str">
        <x:v>Medissimo imedipac : rappels et suivi des prises (produit historique)</x:v>
      </x:c>
      <x:c r="D12" s="9" t="s">
        <x:v>46</x:v>
      </x:c>
      <x:c r="E12" s="10" t="str">
        <x:v>Bien-être</x:v>
      </x:c>
      <x:c r="F12" s="10" t="str">
        <x:v>Étude imedipac : « pour assurer l’observance de la délivrance médicamenteuse en temps réel ».
Usage retenu : rappels et traçabilité.
Question 4, propositions fictives :
Bien-être : « Rappelle les horaires de prise saisis. »
Médical : « Analyse les prises pour recommander au médecin un ajustement du traitement. »</x:v>
      </x:c>
      <x:c r="G12" s="10" t="str">
        <x:v>Non applicable</x:v>
      </x:c>
      <x:c r="H12" s="10" t="str">
        <x:v>Non applicable</x:v>
      </x:c>
      <x:c r="I12" s="10" t="str">
        <x:v>Non</x:v>
      </x:c>
      <x:c r="J12" s="10" t="str">
        <x:v>Position retenue pour les rappels et la traçabilité : organisation des prises, hors DM. Classe/règle MDR non applicables, ON médical non requis. L’ouverture d’une case ne prouve pas l’ingestion. imedipac a été retiré en 2018 ; l’avis HAS sur MEDIPAC ne certifie pas ce modèle distinct.</x:v>
      </x:c>
      <x:c r="K12" s="11" t="str">
        <x:f>IF(E12="","",IF(AND(E12="Bien-être",G12&lt;&gt;"—",G12&lt;&gt;"Non applicable",G12&lt;&gt;""),"À revoir : un produit bien-être n'a pas de classe (Non applicable)",IF(AND(E12="Dispositif médical",OR(G12="—",G12="Non applicable",G12="")),"Indiquez une classe : I, IIa, IIb ou III",IF(AND(OR(G12="IIa",G12="IIb",G12="III"),I12="Non"),"À revoir : dès IIa, organisme notifié",IF(AND(G12="I",I12="Oui"),"À vérifier : classe I = en général auto-déclaration",IF(F12="","Ajoutez la phrase qui prouve la finalité","OK"))))))</x:f>
        <x:v>OK</x:v>
      </x:c>
    </x:row>
    <x:row r="13" ht="170" customHeight="1">
      <x:c r="A13" s="11">
        <x:v>9</x:v>
      </x:c>
      <x:c r="B13" s="10" t="str">
        <x:v>Votre projet - cas G : souris ergonomique 1 500 mAh + logiciel</x:v>
      </x:c>
      <x:c r="C13" s="10" t="str">
        <x:v>Cas G : souris 1 500 mAh, suivi physiologique et score cardiovasculaire personnalisé</x:v>
      </x:c>
      <x:c r="D13" s="10" t="str">
        <x:v>Deux fonctions confirmées par l’équipe : tendances et score personnalisé. Classe IIa hypothétique pour le TP, non certifiée. Voir PDF et cas_g.json.</x:v>
      </x:c>
      <x:c r="E13" s="10" t="str">
        <x:v>Dispositif médical</x:v>
      </x:c>
      <x:c r="F13" s="10" t="str">
        <x:v>Suivre les indicateurs physiologiques et leurs tendances pendant l’utilisation de l’ordinateur, et estimer un risque personnalisé de complications cardiovasculaires en lien avec le stress et la sédentarité, afin d’informer la prévention et de permettre un partage choisi avec un professionnel de santé.</x:v>
      </x:c>
      <x:c r="G13" s="10" t="str">
        <x:v>IIa</x:v>
      </x:c>
      <x:c r="H13" s="10" t="str">
        <x:v>Règle 11 (logiciel)</x:v>
      </x:c>
      <x:c r="I13" s="10" t="str">
        <x:v>Oui</x:v>
      </x:c>
      <x:c r="J13" s="10" t="str">
        <x:v>Classe probable IIa retenue comme hypothèse du TP, règle 11 : suivi physiologique de routine et score destiné à informer la prévention, sans piloter seul une décision diagnostique ou thérapeutique. Cette hypothèse doit être confrontée aux conséquences réelles des décisions : IIb ou III si les critères de gravité s’appliquent. Les scénarios G3 restent à instruire ; une simple mention de limites ne suffit pas. Matériel à examiner séparément. Aucune certification acquise.</x:v>
      </x:c>
      <x:c r="K13" s="11" t="str">
        <x:f>IF(AND(G13="IIa",H13="Règle 11 (logiciel)",I13="Oui",F13&lt;&gt;"",J13&lt;&gt;""),"OK","Vérifier classe, règle, organisme et justification")</x:f>
        <x:v>OK</x:v>
      </x:c>
    </x:row>
    <x:row r="15">
      <x:c r="B15" s="12" t="s">
        <x:v>47</x:v>
      </x:c>
      <x:c r="E15" t="n">
        <x:f>COUNTA(E5:E13)</x:f>
        <x:v>9</x:v>
      </x:c>
    </x:row>
    <x:row r="16">
      <x:c r="B16" s="12" t="s">
        <x:v>48</x:v>
      </x:c>
      <x:c r="E16" t="n">
        <x:f>COUNTIF(K5:K13,"OK")</x:f>
        <x:v>9</x:v>
      </x:c>
    </x:row>
  </x:sheetData>
  <x:conditionalFormatting sqref="K5:K13">
    <x:cfRule type="expression" dxfId="1" priority="1">
      <x:formula>K5="OK"</x:formula>
    </x:cfRule>
    <x:cfRule type="expression" dxfId="0" priority="2">
      <x:formula>AND(K5&lt;&gt;"",K5&lt;&gt;"OK")</x:formula>
    </x:cfRule>
  </x:conditionalFormatting>
  <x:dataValidations count="13">
    <x:dataValidation type="list" allowBlank="1" errorTitle="Valeur non prévue" error="Choisissez une valeur de la liste." promptTitle="Choix" prompt="Bien-être, Dispositif médical ou À discuter" sqref="E5 E6 E7 E8 E9 E10 E11 E12 E13">
      <x:formula1>"Bien-être,Dispositif médical,À discuter"</x:formula1>
    </x:dataValidation>
    <x:dataValidation type="list" allowBlank="1" errorTitle="Valeur non prévue" error="Choisissez une valeur de la liste." promptTitle="Choix" prompt="Oui ou Non" sqref="I5">
      <x:formula1>"Oui,Non"</x:formula1>
    </x:dataValidation>
    <x:dataValidation type="list" allowBlank="1" errorTitle="Valeur non prévue" error="Choisissez une valeur de la liste." promptTitle="Choix" prompt="Oui ou Non" sqref="I6">
      <x:formula1>"Oui,Non"</x:formula1>
    </x:dataValidation>
    <x:dataValidation type="list" allowBlank="1" errorTitle="Valeur non prévue" error="Choisissez une valeur de la liste." promptTitle="Choix" prompt="Oui ou Non" sqref="I7">
      <x:formula1>"Oui,Non"</x:formula1>
    </x:dataValidation>
    <x:dataValidation type="list" allowBlank="1" errorTitle="Valeur non prévue" error="Choisissez une valeur de la liste." promptTitle="Choix" prompt="Oui ou Non" sqref="I8">
      <x:formula1>"Oui,Non"</x:formula1>
    </x:dataValidation>
    <x:dataValidation type="list" allowBlank="1" errorTitle="Valeur non prévue" error="Choisissez une valeur de la liste." promptTitle="Choix" prompt="Oui ou Non" sqref="I9">
      <x:formula1>"Oui,Non"</x:formula1>
    </x:dataValidation>
    <x:dataValidation type="list" allowBlank="1" errorTitle="Valeur non prévue" error="Choisissez une valeur de la liste." promptTitle="Choix" prompt="Oui ou Non" sqref="I10">
      <x:formula1>"Oui,Non"</x:formula1>
    </x:dataValidation>
    <x:dataValidation type="list" allowBlank="1" errorTitle="Valeur non prévue" error="Choisissez une valeur de la liste." promptTitle="Choix" prompt="Oui ou Non" sqref="I11">
      <x:formula1>"Oui,Non"</x:formula1>
    </x:dataValidation>
    <x:dataValidation type="list" allowBlank="1" errorTitle="Valeur non prévue" error="Choisissez une valeur de la liste." promptTitle="Choix" prompt="Oui ou Non" sqref="I12">
      <x:formula1>"Oui,Non"</x:formula1>
    </x:dataValidation>
    <x:dataValidation type="list" sqref="G5:G12">
      <x:formula1>"I,IIa,IIb,III,—,Non applicable"</x:formula1>
    </x:dataValidation>
    <x:dataValidation type="list" sqref="H5:H13">
      <x:formula1>"Règle 11 (logiciel),Règle 10 (appareil de mesure),Règle 12 (administre un médicament),Règle 13 (autre appareil actif),Autre (préciser),—,Non applicable"</x:formula1>
    </x:dataValidation>
    <x:dataValidation type="list" sqref="G13">
      <x:formula1>"I,IIa,IIb,III,À déterminer"</x:formula1>
    </x:dataValidation>
    <x:dataValidation type="list" allowBlank="1" showInputMessage="1" showErrorMessage="1" errorTitle="Valeur non prévue" error="Choisissez une valeur de la liste." promptTitle="Choix" prompt="Oui ou Non" sqref="I13">
      <x:formula1>"Oui,Non,À confirmer"</x:formula1>
    </x:dataValidation>
  </x:dataValidations>
  <x:pageMargins left="0.7" right="0.7" top="0.75" bottom="0.75" header="0.3" footer="0.3"/>
  <x:legacyDrawing xmlns:r="http://schemas.openxmlformats.org/officeDocument/2006/relationships" r:id="R7ebe2544d6844f05"/>
</x:worksheet>
</file>